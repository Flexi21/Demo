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N:\WS_nian-rong.li_mtkwt306\UMOLYA\BRANCHES_LR12A\LR12A.R3.MP\mcu\pcore\custom\modem\el1_rf\MT6762_LTE_MT6177\DRDI\Set0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135" i="5"/>
  <c r="P271" i="5" l="1"/>
  <c r="P247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09" i="5" l="1"/>
  <c r="P208" i="5"/>
  <c r="P286" i="5"/>
  <c r="P284" i="5"/>
  <c r="P217" i="5"/>
  <c r="P216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5" i="5"/>
  <c r="P201" i="5"/>
  <c r="P200" i="5"/>
  <c r="P282" i="5"/>
  <c r="P270" i="5"/>
  <c r="P266" i="5"/>
  <c r="P227" i="5"/>
  <c r="P226" i="5"/>
  <c r="P213" i="5"/>
  <c r="P199" i="5"/>
  <c r="P198" i="5"/>
  <c r="P117" i="5"/>
  <c r="P116" i="5"/>
  <c r="P77" i="5"/>
  <c r="P76" i="5"/>
  <c r="P75" i="5"/>
  <c r="P74" i="5"/>
  <c r="P73" i="5"/>
  <c r="P72" i="5"/>
  <c r="P71" i="5"/>
  <c r="P70" i="5"/>
  <c r="P278" i="5"/>
  <c r="P276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6" i="5"/>
  <c r="P137" i="5"/>
  <c r="P138" i="5"/>
  <c r="P283" i="5"/>
  <c r="P267" i="5"/>
  <c r="P262" i="5"/>
  <c r="P223" i="5"/>
  <c r="P224" i="5"/>
  <c r="P225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0" i="5"/>
  <c r="P211" i="5"/>
  <c r="P212" i="5"/>
  <c r="P214" i="5"/>
  <c r="P215" i="5"/>
  <c r="P218" i="5"/>
  <c r="P219" i="5"/>
  <c r="P220" i="5"/>
  <c r="P221" i="5"/>
  <c r="P222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2" i="5"/>
  <c r="P248" i="5"/>
  <c r="P285" i="5"/>
  <c r="P252" i="5"/>
  <c r="P261" i="5"/>
  <c r="P240" i="5"/>
  <c r="P246" i="5"/>
  <c r="P242" i="5"/>
  <c r="P243" i="5"/>
  <c r="P239" i="5"/>
  <c r="P281" i="5"/>
  <c r="P251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1" i="5"/>
  <c r="P244" i="5"/>
  <c r="P249" i="5"/>
  <c r="P250" i="5"/>
  <c r="P263" i="5"/>
  <c r="P264" i="5"/>
  <c r="P265" i="5"/>
  <c r="P268" i="5"/>
  <c r="P269" i="5"/>
  <c r="P273" i="5"/>
  <c r="P274" i="5"/>
  <c r="P275" i="5"/>
  <c r="P277" i="5"/>
  <c r="P279" i="5"/>
  <c r="P280" i="5"/>
  <c r="P260" i="5" l="1"/>
  <c r="P19" i="5"/>
</calcChain>
</file>

<file path=xl/sharedStrings.xml><?xml version="1.0" encoding="utf-8"?>
<sst xmlns="http://schemas.openxmlformats.org/spreadsheetml/2006/main" count="8093" uniqueCount="1780">
  <si>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</si>
  <si>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</si>
  <si>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</si>
  <si>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</si>
  <si>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</si>
  <si>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</si>
  <si>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</si>
  <si>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</si>
  <si>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</si>
  <si>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</si>
  <si>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</si>
  <si>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</si>
  <si>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</si>
  <si>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</si>
  <si>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</si>
  <si>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</si>
  <si>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</si>
  <si>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</si>
  <si>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</si>
  <si>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</si>
  <si>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</si>
  <si>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</si>
  <si>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</si>
  <si>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</si>
  <si>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</si>
  <si>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</si>
  <si>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</si>
  <si>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</si>
  <si>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</si>
  <si>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</si>
  <si>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</si>
  <si>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</si>
  <si>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</si>
  <si>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</si>
  <si>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</si>
  <si>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</si>
  <si>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</si>
  <si>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</si>
  <si>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</si>
  <si>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</si>
  <si>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</si>
  <si>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</si>
  <si>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</si>
  <si>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</si>
  <si>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</si>
  <si>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</si>
  <si>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</si>
  <si>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</si>
  <si>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</si>
  <si>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</si>
  <si>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</si>
  <si>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</si>
  <si>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</si>
  <si>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</si>
  <si>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</si>
  <si>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</si>
  <si>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</si>
  <si>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</si>
  <si>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</si>
  <si>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</si>
  <si>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</si>
  <si>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</si>
  <si>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</si>
  <si>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</si>
  <si>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</si>
  <si>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</si>
  <si>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</si>
  <si>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</si>
  <si>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</si>
  <si>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</si>
  <si>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</si>
  <si>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</si>
  <si>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</si>
  <si>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</si>
  <si>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</si>
  <si>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</si>
  <si>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</si>
  <si>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</si>
  <si>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</si>
  <si>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</si>
  <si>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</si>
  <si>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</si>
  <si>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</si>
  <si>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</si>
  <si>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</si>
  <si>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</si>
  <si>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</si>
  <si>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</si>
  <si>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</si>
  <si>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</si>
  <si>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</si>
  <si>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</si>
  <si>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</si>
  <si>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</si>
  <si>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</si>
  <si>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</si>
  <si>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</si>
  <si>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</si>
  <si>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</si>
  <si>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</si>
  <si>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</si>
  <si>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</si>
  <si>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</si>
  <si>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</si>
  <si>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</si>
  <si>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</si>
  <si>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</si>
  <si>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</si>
  <si>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</si>
  <si>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</si>
  <si>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</si>
  <si>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</si>
  <si>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</si>
  <si>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</si>
  <si>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</si>
  <si>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</si>
  <si>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</si>
  <si>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</si>
  <si>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</si>
  <si>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</si>
  <si>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</si>
  <si>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</si>
  <si>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</si>
  <si>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</si>
  <si>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</si>
  <si>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</si>
  <si>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</si>
  <si>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</si>
  <si>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</si>
  <si>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</si>
  <si>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</si>
  <si>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</si>
  <si>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</si>
  <si>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</si>
  <si>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</si>
  <si>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</si>
  <si>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</si>
  <si>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</si>
  <si>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</si>
  <si>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</si>
  <si>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</si>
  <si>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</si>
  <si>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</si>
  <si>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</si>
  <si>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</si>
  <si>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</si>
  <si>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</si>
  <si>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</si>
  <si>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</si>
  <si>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</si>
  <si>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</si>
  <si>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</si>
  <si>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</si>
  <si>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</si>
  <si>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</si>
  <si>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</si>
  <si>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</si>
  <si>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</si>
  <si>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</si>
  <si>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</si>
  <si>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</si>
  <si>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</si>
  <si>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</si>
  <si>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</si>
  <si>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</si>
  <si>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</si>
  <si>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</si>
  <si>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</si>
  <si>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</si>
  <si>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</si>
  <si>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</si>
  <si>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</si>
  <si>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</si>
  <si>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</si>
  <si>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</si>
  <si>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</si>
  <si>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</si>
  <si>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</si>
  <si>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</si>
  <si>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</si>
  <si>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</si>
  <si>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</si>
  <si>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</si>
  <si>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</si>
  <si>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</si>
  <si>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</si>
  <si>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</si>
  <si>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</si>
  <si>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</si>
  <si>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</si>
  <si>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</si>
  <si>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</si>
  <si>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</si>
  <si>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</si>
  <si>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</si>
  <si>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</si>
  <si>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</si>
  <si>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</si>
  <si>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</si>
  <si>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</si>
  <si>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</si>
  <si>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</si>
  <si>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</si>
  <si>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</si>
  <si>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</si>
  <si>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</si>
  <si>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</si>
  <si>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</si>
  <si>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</si>
  <si>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</si>
  <si>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</si>
  <si>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</si>
  <si>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</si>
  <si>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</si>
  <si>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</si>
  <si>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</si>
  <si>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</si>
  <si>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</si>
  <si>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</si>
  <si>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</si>
  <si>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</si>
  <si>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</si>
  <si>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</si>
  <si>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</si>
  <si>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</si>
  <si>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</si>
  <si>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</si>
  <si>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</si>
  <si>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</si>
  <si>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</si>
  <si>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</si>
  <si>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</si>
  <si>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</si>
  <si>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</si>
  <si>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</si>
  <si>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</si>
  <si>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</si>
  <si>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</si>
  <si>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</si>
  <si>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</si>
  <si>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</si>
  <si>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</si>
  <si>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</si>
  <si>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</si>
  <si>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</si>
  <si>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</si>
  <si>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</si>
  <si>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</si>
  <si>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</si>
  <si>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</si>
  <si>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</si>
  <si>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</si>
  <si>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</si>
  <si>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</si>
  <si>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</si>
  <si>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</si>
  <si>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</si>
  <si>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</si>
  <si>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</si>
  <si>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</si>
  <si>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</si>
  <si>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</si>
  <si>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</si>
  <si>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</si>
  <si>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</si>
  <si>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</si>
  <si>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</si>
  <si>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</si>
  <si>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</si>
  <si>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</si>
  <si>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</si>
  <si>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</si>
  <si>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</si>
  <si>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</si>
  <si>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</si>
  <si>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</si>
  <si>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</si>
  <si>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</si>
  <si>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</si>
  <si>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</si>
  <si>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</si>
  <si>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</si>
  <si>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</si>
  <si>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</si>
  <si>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</si>
  <si>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</si>
  <si>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</si>
  <si>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</si>
  <si>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</si>
  <si>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</si>
  <si>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</si>
  <si>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</si>
  <si>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</si>
  <si>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</si>
  <si>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</si>
  <si>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</si>
  <si>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</si>
  <si>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</si>
  <si>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</si>
  <si>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</si>
  <si>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</si>
  <si>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</si>
  <si>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</si>
  <si>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</si>
  <si>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</si>
  <si>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</si>
  <si>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</si>
  <si>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</si>
  <si>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</si>
  <si>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</si>
  <si>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</si>
  <si>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</si>
  <si>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</si>
  <si>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</si>
  <si>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</si>
  <si>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</si>
  <si>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</si>
  <si>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</si>
  <si>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</si>
  <si>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</si>
  <si>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</si>
  <si>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</si>
  <si>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</si>
  <si>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</si>
  <si>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</si>
  <si>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</si>
  <si>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</si>
  <si>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</si>
  <si>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</si>
  <si>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</si>
  <si>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</si>
  <si>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</si>
  <si>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</si>
  <si>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</si>
  <si>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</si>
  <si>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</si>
  <si>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</si>
  <si>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</si>
  <si>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</si>
  <si>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</si>
  <si>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</si>
  <si>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</si>
  <si>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</si>
  <si>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</si>
  <si>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</si>
  <si>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</si>
  <si>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</si>
  <si>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</si>
  <si>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</si>
  <si>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</si>
  <si>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</si>
  <si>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</si>
  <si>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</si>
  <si>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</si>
  <si>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</si>
  <si>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</si>
  <si>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</si>
  <si>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</si>
  <si>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</si>
  <si>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</si>
  <si>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</si>
  <si>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</si>
  <si>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</si>
  <si>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</si>
  <si>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</si>
  <si>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</si>
  <si>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</si>
  <si>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</si>
  <si>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</si>
  <si>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</si>
  <si>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</si>
  <si>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</si>
  <si>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</si>
  <si>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</si>
  <si>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</si>
  <si>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</si>
  <si>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</si>
  <si>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</si>
  <si>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</si>
  <si>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</si>
  <si>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</si>
  <si>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</si>
  <si>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</si>
  <si>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</si>
  <si>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</si>
  <si>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</si>
  <si>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</si>
  <si>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</si>
  <si>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</si>
  <si>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</si>
  <si>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</si>
  <si>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</si>
  <si>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</si>
  <si>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</si>
  <si>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</si>
  <si>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</si>
  <si>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</si>
  <si>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</si>
  <si>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</si>
  <si>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</si>
  <si>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</si>
  <si>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</si>
  <si>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</si>
  <si>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</si>
  <si>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</si>
  <si>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</si>
  <si>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</si>
  <si>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</si>
  <si>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</si>
  <si>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</si>
  <si>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</si>
  <si>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</si>
  <si>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</si>
  <si>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</si>
  <si>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</si>
  <si>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</si>
  <si>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</si>
  <si>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</si>
  <si>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</si>
  <si>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</si>
  <si>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</si>
  <si>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</si>
  <si>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</si>
  <si>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</si>
  <si>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</si>
  <si>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</si>
  <si>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</si>
  <si>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</si>
  <si>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</si>
  <si>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</si>
  <si>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</si>
  <si>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</si>
  <si>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</si>
  <si>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</si>
  <si>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</si>
  <si>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</si>
  <si>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</si>
  <si>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</si>
  <si>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</si>
  <si>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</si>
  <si>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</si>
  <si>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</si>
  <si>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</si>
  <si>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</si>
  <si>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</si>
  <si>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</si>
  <si>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</si>
  <si>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</si>
  <si>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</si>
  <si>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</si>
  <si>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</si>
  <si>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</si>
  <si>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</si>
  <si>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</si>
  <si>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</si>
  <si>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</si>
  <si>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</si>
  <si>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</si>
  <si>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</si>
  <si>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</si>
  <si>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</si>
  <si>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</si>
  <si>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</si>
  <si>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</si>
  <si>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</si>
  <si>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</si>
  <si>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</si>
  <si>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</si>
  <si>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</si>
  <si>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</si>
  <si>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</si>
  <si>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</si>
  <si>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</si>
  <si>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</si>
  <si>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</si>
  <si>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</si>
  <si>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</si>
  <si>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</si>
  <si>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</si>
  <si>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</si>
  <si>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</si>
  <si>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</si>
  <si>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</si>
  <si>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</si>
  <si>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</si>
  <si>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</si>
  <si>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</si>
  <si>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</si>
  <si>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</si>
  <si>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</si>
  <si>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</si>
  <si>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</si>
  <si>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</si>
  <si>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</si>
  <si>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</si>
  <si>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</si>
  <si>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</si>
  <si>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</si>
  <si>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</si>
  <si>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</si>
  <si>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</si>
  <si>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</si>
  <si>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</si>
  <si>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</si>
  <si>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</si>
  <si>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</si>
  <si>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</si>
  <si>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</si>
  <si>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</si>
  <si>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</si>
  <si>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</si>
  <si>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</si>
  <si>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</si>
  <si>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</si>
  <si>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</si>
  <si>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</si>
  <si>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</si>
  <si>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</si>
  <si>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</si>
  <si>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</si>
  <si>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</si>
  <si>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</si>
  <si>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</si>
  <si>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</si>
  <si>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</si>
  <si>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</si>
  <si>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</si>
  <si>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</si>
  <si>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</si>
  <si>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</si>
  <si>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</si>
  <si>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</si>
  <si>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</si>
  <si>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</si>
  <si>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</si>
  <si>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</si>
  <si>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</si>
  <si>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</si>
  <si>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</si>
  <si>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</si>
  <si>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</si>
  <si>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</si>
  <si>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</si>
  <si>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</si>
  <si>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</si>
  <si>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</si>
  <si>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</si>
  <si>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</si>
  <si>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</si>
  <si>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</si>
  <si>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</si>
  <si>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</si>
  <si>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</si>
  <si>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</si>
  <si>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</si>
  <si>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</si>
  <si>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</si>
  <si>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</si>
  <si>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</si>
  <si>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</si>
  <si>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</si>
  <si>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</si>
  <si>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</si>
  <si>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</si>
  <si>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</si>
  <si>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</si>
  <si>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</si>
  <si>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</si>
  <si>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</si>
  <si>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</si>
  <si>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</si>
  <si>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</si>
  <si>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</si>
  <si>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</si>
  <si>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</si>
  <si>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</si>
  <si>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</si>
  <si>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</si>
  <si>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</si>
  <si>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</si>
  <si>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</si>
  <si>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</si>
  <si>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</si>
  <si>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</si>
  <si>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</si>
  <si>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</si>
  <si>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</si>
  <si>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</si>
  <si>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</si>
  <si>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</si>
  <si>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</si>
  <si>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</si>
  <si>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</si>
  <si>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</si>
  <si>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</si>
  <si>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</si>
  <si>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</si>
  <si>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</si>
  <si>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</si>
  <si>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</si>
  <si>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</si>
  <si>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</si>
  <si>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</si>
  <si>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</si>
  <si>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</si>
  <si>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</si>
  <si>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</si>
  <si>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</si>
  <si>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</si>
  <si>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</si>
  <si>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</si>
  <si>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</si>
  <si>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</si>
  <si>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</si>
  <si>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</si>
  <si>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</si>
  <si>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</si>
  <si>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</si>
  <si>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</si>
  <si>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</si>
  <si>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</si>
  <si>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</si>
  <si>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</si>
  <si>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</si>
  <si>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</si>
  <si>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</si>
  <si>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</si>
  <si>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</si>
  <si>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</si>
  <si>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</si>
  <si>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</si>
  <si>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</si>
  <si>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</si>
  <si>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</si>
  <si>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</si>
  <si>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</si>
  <si>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</si>
  <si>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</si>
  <si>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</si>
  <si>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</si>
  <si>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</si>
  <si>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</si>
  <si>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</si>
  <si>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</si>
  <si>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</si>
  <si>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</si>
  <si>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</si>
  <si>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</si>
  <si>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</si>
  <si>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</si>
  <si>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</si>
  <si>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</si>
  <si>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</si>
  <si>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</si>
  <si>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</si>
  <si>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</si>
  <si>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</si>
  <si>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</si>
  <si>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</si>
  <si>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</si>
  <si>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</si>
  <si>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</si>
  <si>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</si>
  <si>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</si>
  <si>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</si>
  <si>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</si>
  <si>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</si>
  <si>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</si>
  <si>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</si>
  <si>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</si>
  <si>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</si>
  <si>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</si>
  <si>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</si>
  <si>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</si>
  <si>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</si>
  <si>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</si>
  <si>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</si>
  <si>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</si>
  <si>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</si>
  <si>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</si>
  <si>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</si>
  <si>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</si>
  <si>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</si>
  <si>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</si>
  <si>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</si>
  <si>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</si>
  <si>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</si>
  <si>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</si>
  <si>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</si>
  <si>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</si>
  <si>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</si>
  <si>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</si>
  <si>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</si>
  <si>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</si>
  <si>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</si>
  <si>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</si>
  <si>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</si>
  <si>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</si>
  <si>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</si>
  <si>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</si>
  <si>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</si>
  <si>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</si>
  <si>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</si>
  <si>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</si>
  <si>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</si>
  <si>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</si>
  <si>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</si>
  <si>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</si>
  <si>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</si>
  <si>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</si>
  <si>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</si>
  <si>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</si>
  <si>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</si>
  <si>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</si>
  <si>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</si>
  <si>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</si>
  <si>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</si>
  <si>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</si>
  <si>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</si>
  <si>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</si>
  <si>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</si>
  <si>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</si>
  <si>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</si>
  <si>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</si>
  <si>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</si>
  <si>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</si>
  <si>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</si>
  <si>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</si>
  <si>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</si>
  <si>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</si>
  <si>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</si>
  <si>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</si>
  <si>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</si>
  <si>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</si>
  <si>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</si>
  <si>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</si>
  <si>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</si>
  <si>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</si>
  <si>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</si>
  <si>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</si>
  <si>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</si>
  <si>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</si>
  <si>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</si>
  <si>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</si>
  <si>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</si>
  <si>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</si>
  <si>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</si>
  <si>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</si>
  <si>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</si>
  <si>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</si>
  <si>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</si>
  <si>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</si>
  <si>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</si>
  <si>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</si>
  <si>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</si>
  <si>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</si>
  <si>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</si>
  <si>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</si>
  <si>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</si>
  <si>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</si>
  <si>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</si>
  <si>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</si>
  <si>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</si>
  <si>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</si>
  <si>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</si>
  <si>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</si>
  <si>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</si>
  <si>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</si>
  <si>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</si>
  <si>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</si>
  <si>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</si>
  <si>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</si>
  <si>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</si>
  <si>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</si>
  <si>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</si>
  <si>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</si>
  <si>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</si>
  <si>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</si>
  <si>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</si>
  <si>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</si>
  <si>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</si>
  <si>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</si>
  <si>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</si>
  <si>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</si>
  <si>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</si>
  <si>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</si>
  <si>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</si>
  <si>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</si>
  <si>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</si>
  <si>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</si>
  <si>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</si>
  <si>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</si>
  <si>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</si>
  <si>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</si>
  <si>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</si>
  <si>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</si>
  <si>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</si>
  <si>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</si>
  <si>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</si>
  <si>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</si>
  <si>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</si>
  <si>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</si>
  <si>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</si>
  <si>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</si>
  <si>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</si>
  <si>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</si>
  <si>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</si>
  <si>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</si>
  <si>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</si>
  <si>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</si>
  <si>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</si>
  <si>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</si>
  <si>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</si>
  <si>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</si>
  <si>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</si>
  <si>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</si>
  <si>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</si>
  <si>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</si>
  <si>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</si>
  <si>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</si>
  <si>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</si>
  <si>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</si>
  <si>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</si>
  <si>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</si>
  <si>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</si>
  <si>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</si>
  <si>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</si>
  <si>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</si>
  <si>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</si>
  <si>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</si>
  <si>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</si>
  <si>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</si>
  <si>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</si>
  <si>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</si>
  <si>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</si>
  <si>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</si>
  <si>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</si>
  <si>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</si>
  <si>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</si>
  <si>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</si>
  <si>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</si>
  <si>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</si>
  <si>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</si>
  <si>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</si>
  <si>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</si>
  <si>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</si>
  <si>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</si>
  <si>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</si>
  <si>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</si>
  <si>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</si>
  <si>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</si>
  <si>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</si>
  <si>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</si>
  <si>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</si>
  <si>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</si>
  <si>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</si>
  <si>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</si>
  <si>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</si>
  <si>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</si>
  <si>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</si>
  <si>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</si>
  <si>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</si>
  <si>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</si>
  <si>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</si>
  <si>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</si>
  <si>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</si>
  <si>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</si>
  <si>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</si>
  <si>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</si>
  <si>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</si>
  <si>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</si>
  <si>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</si>
  <si>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</si>
  <si>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</si>
  <si>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</si>
  <si>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</si>
  <si>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</si>
  <si>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</si>
  <si>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</si>
  <si>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</si>
  <si>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</si>
  <si>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</si>
  <si>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</si>
  <si>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</si>
  <si>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</si>
  <si>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</si>
  <si>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</si>
  <si>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</si>
  <si>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</si>
  <si>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</si>
  <si>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</si>
  <si>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</si>
  <si>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</si>
  <si>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</si>
  <si>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</si>
  <si>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</si>
  <si>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</si>
  <si>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</si>
  <si>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</si>
  <si>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</si>
  <si>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</si>
  <si>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</si>
  <si>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</si>
  <si>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</si>
  <si>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</si>
  <si>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</si>
  <si>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</si>
  <si>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</si>
  <si>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</si>
  <si>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</si>
  <si>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</si>
  <si>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</si>
  <si>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</si>
  <si>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</si>
  <si>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</si>
  <si>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</si>
  <si>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</si>
  <si>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</si>
  <si>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</si>
  <si>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</si>
  <si>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</si>
  <si>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</si>
  <si>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</si>
  <si>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</si>
  <si>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</si>
  <si>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</si>
  <si>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</si>
  <si>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</si>
  <si>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</si>
  <si>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</si>
  <si>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</si>
  <si>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</si>
  <si>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</si>
  <si>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</si>
  <si>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</si>
  <si>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</si>
  <si>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</si>
  <si>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</si>
  <si>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</si>
  <si>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</si>
  <si>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</si>
  <si>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</si>
  <si>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</si>
  <si>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</si>
  <si>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</si>
  <si>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</si>
  <si>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</si>
  <si>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</si>
  <si>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</si>
  <si>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</si>
  <si>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</si>
  <si>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</si>
  <si>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</si>
  <si>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</si>
  <si>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</si>
  <si>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</si>
  <si>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</si>
  <si>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</si>
  <si>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</si>
  <si>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</si>
  <si>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</si>
  <si>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</si>
  <si>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</si>
  <si>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</si>
  <si>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</si>
  <si>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</si>
  <si>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</si>
  <si>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</si>
  <si>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</si>
  <si>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</si>
  <si>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</si>
  <si>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</si>
  <si>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</si>
  <si>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</si>
  <si>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</si>
  <si>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</si>
  <si>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</si>
  <si>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</si>
  <si>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</si>
  <si>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</si>
  <si>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</si>
  <si>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</si>
  <si>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</si>
  <si>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</si>
  <si>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</si>
  <si>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</si>
  <si>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</si>
  <si>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</si>
  <si>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</si>
  <si>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</si>
  <si>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</si>
  <si>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</si>
  <si>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</si>
  <si>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</si>
  <si>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</si>
  <si>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</si>
  <si>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</si>
  <si>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</si>
  <si>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</si>
  <si>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</si>
  <si>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</si>
  <si>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</si>
  <si>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</si>
  <si>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</si>
  <si>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</si>
  <si>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</si>
  <si>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</si>
  <si>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</si>
  <si>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</si>
  <si>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</si>
  <si>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</si>
  <si>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</si>
  <si>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</si>
  <si>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</si>
  <si>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</si>
  <si>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</si>
  <si>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</si>
  <si>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</si>
  <si>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</si>
  <si>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</si>
  <si>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</si>
  <si>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</si>
  <si>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</si>
  <si>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</si>
  <si>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</si>
  <si>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</si>
  <si>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</si>
  <si>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</si>
  <si>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</si>
  <si>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</si>
  <si>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</si>
  <si>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</si>
  <si>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</si>
  <si>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</si>
  <si>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</si>
  <si>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</si>
  <si>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</si>
  <si>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</si>
  <si>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</si>
  <si>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</si>
  <si>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</si>
  <si>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</si>
  <si>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</si>
  <si>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</si>
  <si>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</si>
  <si>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</si>
  <si>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</si>
  <si>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</si>
  <si>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</si>
  <si>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</si>
  <si>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</si>
  <si>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</si>
  <si>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</si>
  <si>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</si>
  <si>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</si>
  <si>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</si>
  <si>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</si>
  <si>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</si>
  <si>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</si>
  <si>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</si>
  <si>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</si>
  <si>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</si>
  <si>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</si>
  <si>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</si>
  <si>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</si>
  <si>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</si>
  <si>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</si>
  <si>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</si>
  <si>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</si>
  <si>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</si>
  <si>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</si>
  <si>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</si>
  <si>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</si>
  <si>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</si>
  <si>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</si>
  <si>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</si>
  <si>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</si>
  <si>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</si>
  <si>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</si>
  <si>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</si>
  <si>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</si>
  <si>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</si>
  <si>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</si>
  <si>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</si>
  <si>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</si>
  <si>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</si>
  <si>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</si>
  <si>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</si>
  <si>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</si>
  <si>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</si>
  <si>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</si>
  <si>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</si>
  <si>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</si>
  <si>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</si>
  <si>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</si>
  <si>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</si>
  <si>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</si>
  <si>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</si>
  <si>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</si>
  <si>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</si>
  <si>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</si>
  <si>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</si>
  <si>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</si>
  <si>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</si>
  <si>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</si>
  <si>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</si>
  <si>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</si>
  <si>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</si>
  <si>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</si>
  <si>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</si>
  <si>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</si>
  <si>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</si>
  <si>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</si>
  <si>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</si>
  <si>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</si>
  <si>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</si>
  <si>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</si>
  <si>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</si>
  <si>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</si>
  <si>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</si>
  <si>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</si>
  <si>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</si>
  <si>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</si>
  <si>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</si>
  <si>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</si>
  <si>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</si>
  <si>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</si>
  <si>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</si>
  <si>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</si>
  <si>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</si>
  <si>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</si>
  <si>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</si>
  <si>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</si>
  <si>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</si>
  <si>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</si>
  <si>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</si>
  <si>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</si>
  <si>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</si>
  <si>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</si>
  <si>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</si>
  <si>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</si>
  <si>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</si>
  <si>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</si>
  <si>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</si>
  <si>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</si>
  <si>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</si>
  <si>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</si>
  <si>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</si>
  <si>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</si>
  <si>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</si>
  <si>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</si>
  <si>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</si>
  <si>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</si>
  <si>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</si>
  <si>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</si>
  <si>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</si>
  <si>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</si>
  <si>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</si>
  <si>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</si>
  <si>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</si>
  <si>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</si>
  <si>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</si>
  <si>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</si>
  <si>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</si>
  <si>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</si>
  <si>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</si>
  <si>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</si>
  <si>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</si>
  <si>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</si>
  <si>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</si>
  <si>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</si>
  <si>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</si>
  <si>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</si>
  <si>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</si>
  <si>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</si>
  <si>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</si>
  <si>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</si>
  <si>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</si>
  <si>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</si>
  <si>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</si>
  <si>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</si>
  <si>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</si>
  <si>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</si>
  <si>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</si>
  <si>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</si>
  <si>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</si>
  <si>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</si>
  <si>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</si>
  <si>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</si>
  <si>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</si>
  <si>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</si>
  <si>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</si>
  <si>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</si>
  <si>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</si>
  <si>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</si>
  <si>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</si>
  <si>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</si>
  <si>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</si>
  <si>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</si>
  <si>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</si>
  <si>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</si>
  <si>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</si>
  <si>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</si>
  <si>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</si>
  <si>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</si>
  <si>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</si>
  <si>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</si>
  <si>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</si>
  <si>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</si>
  <si>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</si>
  <si>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</si>
  <si>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</si>
  <si>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</si>
  <si>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</si>
  <si>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</si>
  <si>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</si>
  <si>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</si>
  <si>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</si>
  <si>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</si>
  <si>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</si>
  <si>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</si>
  <si>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</si>
  <si>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</si>
  <si>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</si>
  <si>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</si>
  <si>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</si>
  <si>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</si>
  <si>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</si>
  <si>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</si>
  <si>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</si>
  <si>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</si>
  <si>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</si>
  <si>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</si>
  <si>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</si>
  <si>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</si>
  <si>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</si>
  <si>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</si>
  <si>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</si>
  <si>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</si>
  <si>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</si>
  <si>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</si>
  <si>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</si>
  <si>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</si>
  <si>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</si>
  <si>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</si>
  <si>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</si>
  <si>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</si>
  <si>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</si>
  <si>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</si>
  <si>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</si>
  <si>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</si>
  <si>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</si>
  <si>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</si>
  <si>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</si>
  <si>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</si>
  <si>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</si>
  <si>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</si>
  <si>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</si>
  <si>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</si>
  <si>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</si>
  <si>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</si>
  <si>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</si>
  <si>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</si>
  <si>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</si>
  <si>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</si>
  <si>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</si>
  <si>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</si>
  <si>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</si>
  <si>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</si>
  <si>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</si>
  <si>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</si>
  <si>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</si>
  <si>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</si>
  <si>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</si>
  <si>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</si>
  <si>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</si>
  <si>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</si>
  <si>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</si>
  <si>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</si>
  <si>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</si>
  <si>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</si>
  <si>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</si>
  <si>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</si>
  <si>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</si>
  <si>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</si>
  <si>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</si>
  <si>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</si>
  <si>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</si>
  <si>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</si>
  <si>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</si>
  <si>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</si>
  <si>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</si>
  <si>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</si>
  <si>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</si>
  <si>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</si>
  <si>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</si>
  <si>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</si>
  <si>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</si>
  <si>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</si>
  <si>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</si>
  <si>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</si>
  <si>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</si>
  <si>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</si>
  <si>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</si>
  <si>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</si>
  <si>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</si>
  <si>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</si>
  <si>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</si>
  <si>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</si>
  <si>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</si>
  <si>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</si>
  <si>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</si>
  <si>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</si>
  <si>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</si>
  <si>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</si>
  <si>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</si>
  <si>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</si>
  <si>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</si>
  <si>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</si>
  <si>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</si>
  <si>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</si>
  <si>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</si>
  <si>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</si>
  <si>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</si>
  <si>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</si>
  <si>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</si>
  <si>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</si>
  <si>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</si>
  <si>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</si>
  <si>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</si>
  <si>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</si>
  <si>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</si>
  <si>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</si>
  <si>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</si>
  <si>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</si>
  <si>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</si>
  <si>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</si>
  <si>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</si>
  <si>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</si>
  <si>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</si>
  <si>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</si>
  <si>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</si>
  <si>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</si>
  <si>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</si>
  <si>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</si>
  <si>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</si>
  <si>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</si>
  <si>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</si>
  <si>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</si>
  <si>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</si>
  <si>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</si>
  <si>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</si>
  <si>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</si>
  <si>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</si>
  <si>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</si>
  <si>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</si>
  <si>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</si>
  <si>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</si>
  <si>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</si>
  <si>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</si>
  <si>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</si>
  <si>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</si>
  <si>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</si>
  <si>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</si>
  <si>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</si>
  <si>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</si>
  <si>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</si>
  <si>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</si>
  <si>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</si>
  <si>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</si>
  <si>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</si>
  <si>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</si>
  <si>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</si>
  <si>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</si>
  <si>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</si>
  <si>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</si>
  <si>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</si>
  <si>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</si>
  <si>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</si>
  <si>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</si>
  <si>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</si>
  <si>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</si>
  <si>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</si>
  <si>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</si>
  <si>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</si>
  <si>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</si>
  <si>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</si>
  <si>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</si>
  <si>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</si>
  <si>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</si>
  <si>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</si>
  <si>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</si>
  <si>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</si>
  <si>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</si>
  <si>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</si>
  <si>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</si>
  <si>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</si>
  <si>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</si>
  <si>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</si>
  <si>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</si>
  <si>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</si>
  <si>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</si>
  <si>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</si>
  <si>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</si>
  <si>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</si>
  <si>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</si>
  <si>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</si>
  <si>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</si>
  <si>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</si>
  <si>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</si>
  <si>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</si>
  <si>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</si>
  <si>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</si>
  <si>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</si>
  <si>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</si>
  <si>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</si>
  <si>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</si>
  <si>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</si>
  <si>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</si>
  <si>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</si>
  <si>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</si>
  <si>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</si>
  <si>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</si>
  <si>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</si>
  <si>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</si>
  <si>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</si>
  <si>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</si>
  <si>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</si>
  <si>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</si>
  <si>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</si>
  <si>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</si>
  <si>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</si>
  <si>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</si>
  <si>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</si>
  <si>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</si>
  <si>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</si>
  <si>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</si>
  <si>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</si>
  <si>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</si>
  <si>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</si>
  <si>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</si>
  <si>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</si>
  <si>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</si>
  <si>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</si>
  <si>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</si>
  <si>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</si>
  <si>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</si>
  <si>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</si>
  <si>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</si>
  <si>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</si>
  <si>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</si>
  <si>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</si>
  <si>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</si>
  <si>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</si>
  <si>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</si>
  <si>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</si>
  <si>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</si>
  <si>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</si>
  <si>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</si>
  <si>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</si>
  <si>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</si>
  <si>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</si>
  <si>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</si>
  <si>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</si>
  <si>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</si>
  <si>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</si>
  <si>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</si>
  <si>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</si>
  <si>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</si>
  <si>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</si>
  <si>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</si>
  <si>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</si>
  <si>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</si>
  <si>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</si>
  <si>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</si>
  <si>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</si>
  <si>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</si>
  <si>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</si>
  <si>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</si>
  <si>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</si>
  <si>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</si>
  <si>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</si>
  <si>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</si>
  <si>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</si>
  <si>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</si>
  <si>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</si>
  <si>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</si>
  <si>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</si>
  <si>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</si>
  <si>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</si>
  <si>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</si>
  <si>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</si>
  <si>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</si>
  <si>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</si>
  <si>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</si>
  <si>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</si>
  <si>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</si>
  <si>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</si>
  <si>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</si>
  <si>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</si>
  <si>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</si>
  <si>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</si>
  <si>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</si>
  <si>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</si>
  <si>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</si>
  <si>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</si>
  <si>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</si>
  <si>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</si>
  <si>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</si>
  <si>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</si>
  <si>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</si>
  <si>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</si>
  <si>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</si>
  <si>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</si>
  <si>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</si>
  <si>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</si>
  <si>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</si>
  <si>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</si>
  <si>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</si>
  <si>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</si>
  <si>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</si>
  <si>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</si>
  <si>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</si>
  <si>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</si>
  <si>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</si>
  <si>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</si>
  <si>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</si>
  <si>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</si>
  <si>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</si>
  <si>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</si>
  <si>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</si>
  <si>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</si>
  <si>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</si>
  <si>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</si>
  <si>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</si>
  <si>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</si>
  <si>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</si>
  <si>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</si>
  <si>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</si>
  <si>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</si>
  <si>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</si>
  <si>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</si>
  <si>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</si>
  <si>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</si>
  <si>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</si>
  <si>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</si>
  <si>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</si>
  <si>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</si>
  <si>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</si>
  <si>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</si>
  <si>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</si>
  <si>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</si>
  <si>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</si>
  <si>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</si>
  <si>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</si>
  <si>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</si>
  <si>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</si>
  <si>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</si>
  <si>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</si>
  <si>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</si>
  <si>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</si>
  <si>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</si>
  <si>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</si>
  <si>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</si>
  <si>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</si>
  <si>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</si>
  <si>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</si>
  <si>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</si>
  <si>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</si>
  <si>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</si>
  <si>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</si>
  <si>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</si>
  <si>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</si>
  <si>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</si>
  <si>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</si>
  <si>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</si>
  <si>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</si>
  <si>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</si>
  <si>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</si>
  <si>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</si>
  <si>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</si>
  <si>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</si>
  <si>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</si>
  <si>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</si>
  <si>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</si>
  <si>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</si>
  <si>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</si>
  <si>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</si>
  <si>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</si>
  <si>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</si>
  <si>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</si>
  <si>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</si>
  <si>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</si>
  <si>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</si>
  <si>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</si>
  <si>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</si>
  <si>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</si>
  <si>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</si>
  <si>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</si>
  <si>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</si>
  <si>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</si>
  <si>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</si>
  <si>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</si>
  <si>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</si>
  <si>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</si>
  <si>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</si>
  <si>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</si>
  <si>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</si>
  <si>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</si>
  <si>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</si>
  <si>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</si>
  <si>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</si>
  <si>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</si>
  <si>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</si>
  <si>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</si>
  <si>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</si>
  <si>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</si>
  <si>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</si>
  <si>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</si>
  <si>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</si>
  <si>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</si>
  <si>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</si>
  <si>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</si>
  <si>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</si>
  <si>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</si>
  <si>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</si>
  <si>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</si>
  <si>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</si>
  <si>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</si>
  <si>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</si>
  <si>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</si>
  <si>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</si>
  <si>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</si>
  <si>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</si>
  <si>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</si>
  <si>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</si>
  <si>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</si>
  <si>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</si>
  <si>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</si>
  <si>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</si>
  <si>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</si>
  <si>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</si>
  <si>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</si>
  <si>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</si>
  <si>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</si>
  <si>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</si>
  <si>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</si>
  <si>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</si>
  <si>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</si>
  <si>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</si>
  <si>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</si>
  <si>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</si>
  <si>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</si>
  <si>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</si>
  <si>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</si>
  <si>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</si>
  <si>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</si>
  <si>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</si>
  <si>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</si>
  <si>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</si>
  <si>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</si>
  <si>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</si>
  <si>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</si>
  <si>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</si>
  <si>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</si>
  <si>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</si>
  <si>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</si>
  <si>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</si>
  <si>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</si>
  <si>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</si>
  <si>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</si>
  <si>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</si>
  <si>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</si>
  <si>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</si>
  <si>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</si>
  <si>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</si>
  <si>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</si>
  <si>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</si>
  <si>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</si>
  <si>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</si>
  <si>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</si>
  <si>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</si>
  <si>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</si>
  <si>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</si>
  <si>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</si>
  <si>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</si>
  <si>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</si>
  <si>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</si>
  <si>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</si>
  <si>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</si>
  <si>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</si>
  <si>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</si>
  <si>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</si>
  <si>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</si>
  <si>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</si>
  <si>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</si>
  <si>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</si>
  <si>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</si>
  <si>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</si>
  <si>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</si>
  <si>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</si>
  <si>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</si>
  <si>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</si>
  <si>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</si>
  <si>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</si>
  <si>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</si>
  <si>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</si>
  <si>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</si>
  <si>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</si>
  <si>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</si>
  <si>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</si>
  <si>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</si>
  <si>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</si>
  <si>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</si>
  <si>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</si>
  <si>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</si>
  <si>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</si>
  <si>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</si>
  <si>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</si>
  <si>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</si>
  <si>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</si>
  <si>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</si>
  <si>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</si>
  <si>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</si>
  <si>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</si>
  <si>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</si>
  <si>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</si>
  <si>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</si>
  <si>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</si>
  <si>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</si>
  <si>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</si>
  <si>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</si>
  <si>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</si>
  <si>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</si>
  <si>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</si>
  <si>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</si>
  <si>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</si>
  <si>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</si>
  <si>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</si>
  <si>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</si>
  <si>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</si>
  <si>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</si>
  <si>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</si>
  <si>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</si>
  <si>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</si>
  <si>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</si>
  <si>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</si>
  <si>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</si>
  <si>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</si>
  <si>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</si>
  <si>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</si>
  <si>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</si>
  <si>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</si>
  <si>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</si>
  <si>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</si>
  <si>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</si>
  <si>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</si>
  <si>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</si>
  <si>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</si>
  <si>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LTE_TAS_FE_NULL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</si>
  <si>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</si>
  <si>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</si>
  <si>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</si>
  <si>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</si>
  <si>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</si>
  <si>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</si>
  <si>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</si>
  <si>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</si>
  <si>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</si>
  <si>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</si>
  <si>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</si>
  <si>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</si>
  <si>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TBL_IDX25</t>
  </si>
  <si>
    <t>0x00037800</t>
  </si>
  <si>
    <t>0x00027000</t>
  </si>
  <si>
    <t>0x00026800</t>
  </si>
  <si>
    <t>0x00017800</t>
  </si>
  <si>
    <t>7A_12A</t>
  </si>
  <si>
    <t>8A_39A</t>
  </si>
  <si>
    <t>8A_41A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</si>
</sst>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0">
    <cellStyle name="Normal" xfId="0" builtinId="0"/>
    <cellStyle name="一般 2" xfId="1"/>
    <cellStyle name="一般 2 2" xfId="2"/>
    <cellStyle name="一般 2 2 2" xfId="8"/>
    <cellStyle name="一般 2 2 2 2" xfId="14"/>
    <cellStyle name="一般 2 2 3" xfId="17"/>
    <cellStyle name="一般 2 2 4" xfId="11"/>
    <cellStyle name="一般 2 2 5" xfId="5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6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A6" sqref="A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294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1006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1050</v>
      </c>
      <c r="I10" s="235" t="s">
        <v>1050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1006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1050</v>
      </c>
      <c r="I11" s="235" t="s">
        <v>1050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1006</v>
      </c>
      <c r="D12" s="230" t="s">
        <v>142</v>
      </c>
      <c r="E12" s="231" t="s">
        <v>146</v>
      </c>
      <c r="F12" s="232" t="s">
        <v>11</v>
      </c>
      <c r="G12" s="233" t="s">
        <v>11</v>
      </c>
      <c r="H12" s="234" t="s">
        <v>1050</v>
      </c>
      <c r="I12" s="235" t="s">
        <v>1050</v>
      </c>
      <c r="J12" s="236" t="s">
        <v>17</v>
      </c>
      <c r="K12" s="237" t="s">
        <v>370</v>
      </c>
      <c r="L12" s="238" t="s">
        <v>11</v>
      </c>
      <c r="M12" s="239" t="s">
        <v>11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1006</v>
      </c>
      <c r="D13" s="230" t="s">
        <v>144</v>
      </c>
      <c r="E13" s="231" t="s">
        <v>148</v>
      </c>
      <c r="F13" s="232" t="s">
        <v>11</v>
      </c>
      <c r="G13" s="233" t="s">
        <v>11</v>
      </c>
      <c r="H13" s="234" t="s">
        <v>1050</v>
      </c>
      <c r="I13" s="235" t="s">
        <v>1050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1006</v>
      </c>
      <c r="D14" s="230" t="s">
        <v>106</v>
      </c>
      <c r="E14" s="231" t="s">
        <v>114</v>
      </c>
      <c r="F14" s="232" t="s">
        <v>381</v>
      </c>
      <c r="G14" s="233" t="s">
        <v>381</v>
      </c>
      <c r="H14" s="234" t="s">
        <v>1050</v>
      </c>
      <c r="I14" s="235" t="s">
        <v>1050</v>
      </c>
      <c r="J14" s="236" t="s">
        <v>13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1006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1050</v>
      </c>
      <c r="I15" s="235" t="s">
        <v>1050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1006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1050</v>
      </c>
      <c r="I16" s="235" t="s">
        <v>1050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1006</v>
      </c>
      <c r="D17" s="230" t="s">
        <v>51</v>
      </c>
      <c r="E17" s="231" t="s">
        <v>112</v>
      </c>
      <c r="F17" s="232" t="s">
        <v>11</v>
      </c>
      <c r="G17" s="233" t="s">
        <v>11</v>
      </c>
      <c r="H17" s="234" t="s">
        <v>1050</v>
      </c>
      <c r="I17" s="235" t="s">
        <v>1050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91</v>
      </c>
      <c r="C18" s="229" t="s">
        <v>1006</v>
      </c>
      <c r="D18" s="230" t="s">
        <v>51</v>
      </c>
      <c r="E18" s="231" t="s">
        <v>112</v>
      </c>
      <c r="F18" s="232" t="s">
        <v>11</v>
      </c>
      <c r="G18" s="233" t="s">
        <v>11</v>
      </c>
      <c r="H18" s="234" t="s">
        <v>1050</v>
      </c>
      <c r="I18" s="235" t="s">
        <v>1050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92</v>
      </c>
      <c r="C19" s="229" t="s">
        <v>1006</v>
      </c>
      <c r="D19" s="230" t="s">
        <v>28</v>
      </c>
      <c r="E19" s="231" t="s">
        <v>29</v>
      </c>
      <c r="F19" s="232" t="s">
        <v>11</v>
      </c>
      <c r="G19" s="233" t="s">
        <v>11</v>
      </c>
      <c r="H19" s="234" t="s">
        <v>1050</v>
      </c>
      <c r="I19" s="235" t="s">
        <v>1050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93</v>
      </c>
      <c r="C20" s="229" t="s">
        <v>1006</v>
      </c>
      <c r="D20" s="230" t="s">
        <v>106</v>
      </c>
      <c r="E20" s="231" t="s">
        <v>114</v>
      </c>
      <c r="F20" s="232" t="s">
        <v>381</v>
      </c>
      <c r="G20" s="233" t="s">
        <v>381</v>
      </c>
      <c r="H20" s="234" t="s">
        <v>1050</v>
      </c>
      <c r="I20" s="235" t="s">
        <v>1050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94</v>
      </c>
      <c r="C21" s="229" t="s">
        <v>1006</v>
      </c>
      <c r="D21" s="230" t="s">
        <v>106</v>
      </c>
      <c r="E21" s="231" t="s">
        <v>114</v>
      </c>
      <c r="F21" s="232" t="s">
        <v>11</v>
      </c>
      <c r="G21" s="233" t="s">
        <v>11</v>
      </c>
      <c r="H21" s="234" t="s">
        <v>1050</v>
      </c>
      <c r="I21" s="235" t="s">
        <v>1050</v>
      </c>
      <c r="J21" s="236" t="s">
        <v>13</v>
      </c>
      <c r="K21" s="237" t="s">
        <v>365</v>
      </c>
      <c r="L21" s="238" t="s">
        <v>11</v>
      </c>
      <c r="M21" s="239" t="s">
        <v>11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27</v>
      </c>
      <c r="C22" s="229" t="s">
        <v>1006</v>
      </c>
      <c r="D22" s="230" t="s">
        <v>100</v>
      </c>
      <c r="E22" s="231" t="s">
        <v>108</v>
      </c>
      <c r="F22" s="232" t="s">
        <v>11</v>
      </c>
      <c r="G22" s="233" t="s">
        <v>11</v>
      </c>
      <c r="H22" s="234" t="s">
        <v>1050</v>
      </c>
      <c r="I22" s="235" t="s">
        <v>1050</v>
      </c>
      <c r="J22" s="236" t="s">
        <v>13</v>
      </c>
      <c r="K22" s="237" t="s">
        <v>365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95</v>
      </c>
      <c r="C23" s="229" t="s">
        <v>1006</v>
      </c>
      <c r="D23" s="230" t="s">
        <v>143</v>
      </c>
      <c r="E23" s="231" t="s">
        <v>147</v>
      </c>
      <c r="F23" s="232" t="s">
        <v>382</v>
      </c>
      <c r="G23" s="233" t="s">
        <v>382</v>
      </c>
      <c r="H23" s="234" t="s">
        <v>1050</v>
      </c>
      <c r="I23" s="235" t="s">
        <v>1050</v>
      </c>
      <c r="J23" s="236" t="s">
        <v>13</v>
      </c>
      <c r="K23" s="237" t="s">
        <v>32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44</v>
      </c>
      <c r="C24" s="229" t="s">
        <v>1006</v>
      </c>
      <c r="D24" s="230" t="s">
        <v>103</v>
      </c>
      <c r="E24" s="231" t="s">
        <v>109</v>
      </c>
      <c r="F24" s="232" t="s">
        <v>11</v>
      </c>
      <c r="G24" s="233" t="s">
        <v>11</v>
      </c>
      <c r="H24" s="234" t="s">
        <v>1050</v>
      </c>
      <c r="I24" s="235" t="s">
        <v>1050</v>
      </c>
      <c r="J24" s="236" t="s">
        <v>17</v>
      </c>
      <c r="K24" s="237" t="s">
        <v>373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97</v>
      </c>
      <c r="C25" s="229" t="s">
        <v>1006</v>
      </c>
      <c r="D25" s="230" t="s">
        <v>141</v>
      </c>
      <c r="E25" s="231" t="s">
        <v>145</v>
      </c>
      <c r="F25" s="232" t="s">
        <v>11</v>
      </c>
      <c r="G25" s="233" t="s">
        <v>11</v>
      </c>
      <c r="H25" s="234" t="s">
        <v>1050</v>
      </c>
      <c r="I25" s="235" t="s">
        <v>1050</v>
      </c>
      <c r="J25" s="236" t="s">
        <v>17</v>
      </c>
      <c r="K25" s="237" t="s">
        <v>370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24</v>
      </c>
      <c r="C26" s="229" t="s">
        <v>1006</v>
      </c>
      <c r="D26" s="230" t="s">
        <v>107</v>
      </c>
      <c r="E26" s="231" t="s">
        <v>115</v>
      </c>
      <c r="F26" s="232" t="s">
        <v>11</v>
      </c>
      <c r="G26" s="233" t="s">
        <v>11</v>
      </c>
      <c r="H26" s="234" t="s">
        <v>1050</v>
      </c>
      <c r="I26" s="235" t="s">
        <v>1050</v>
      </c>
      <c r="J26" s="236" t="s">
        <v>17</v>
      </c>
      <c r="K26" s="237" t="s">
        <v>373</v>
      </c>
      <c r="L26" s="238" t="s">
        <v>11</v>
      </c>
      <c r="M26" s="239" t="s">
        <v>11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98</v>
      </c>
      <c r="C27" s="229" t="s">
        <v>1006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1050</v>
      </c>
      <c r="I27" s="235" t="s">
        <v>1050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96</v>
      </c>
      <c r="C28" s="229" t="s">
        <v>1006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1050</v>
      </c>
      <c r="I28" s="235" t="s">
        <v>1050</v>
      </c>
      <c r="J28" s="236" t="s">
        <v>13</v>
      </c>
      <c r="K28" s="237" t="s">
        <v>370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15</v>
      </c>
      <c r="C29" s="229" t="s">
        <v>1007</v>
      </c>
      <c r="D29" s="230" t="s">
        <v>16</v>
      </c>
      <c r="E29" s="231" t="s">
        <v>31</v>
      </c>
      <c r="F29" s="232" t="s">
        <v>11</v>
      </c>
      <c r="G29" s="233" t="s">
        <v>11</v>
      </c>
      <c r="H29" s="234" t="s">
        <v>1050</v>
      </c>
      <c r="I29" s="235" t="s">
        <v>1050</v>
      </c>
      <c r="J29" s="236" t="s">
        <v>13</v>
      </c>
      <c r="K29" s="237" t="s">
        <v>32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15</v>
      </c>
      <c r="C30" s="229" t="s">
        <v>1007</v>
      </c>
      <c r="D30" s="230" t="s">
        <v>16</v>
      </c>
      <c r="E30" s="231" t="s">
        <v>31</v>
      </c>
      <c r="F30" s="232" t="s">
        <v>11</v>
      </c>
      <c r="G30" s="233" t="s">
        <v>11</v>
      </c>
      <c r="H30" s="234" t="s">
        <v>1050</v>
      </c>
      <c r="I30" s="235" t="s">
        <v>1050</v>
      </c>
      <c r="J30" s="236" t="s">
        <v>13</v>
      </c>
      <c r="K30" s="237" t="s">
        <v>32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15</v>
      </c>
      <c r="C31" s="229" t="s">
        <v>1007</v>
      </c>
      <c r="D31" s="230"/>
      <c r="E31" s="231"/>
      <c r="F31" s="232"/>
      <c r="G31" s="233"/>
      <c r="H31" s="234"/>
      <c r="I31" s="235"/>
      <c r="J31" s="236" t="s">
        <v>13</v>
      </c>
      <c r="K31" s="237"/>
      <c r="L31" s="238"/>
      <c r="M31" s="239"/>
      <c r="N31" s="240"/>
      <c r="O31" s="241"/>
      <c r="P31" s="242" t="s">
        <v>137</v>
      </c>
    </row>
    <row r="32" spans="1:16">
      <c r="A32" s="10" t="s">
        <v>77</v>
      </c>
      <c r="B32" s="228" t="s">
        <v>15</v>
      </c>
      <c r="C32" s="229" t="s">
        <v>1007</v>
      </c>
      <c r="D32" s="230"/>
      <c r="E32" s="231"/>
      <c r="F32" s="232"/>
      <c r="G32" s="233"/>
      <c r="H32" s="234"/>
      <c r="I32" s="235"/>
      <c r="J32" s="236" t="s">
        <v>13</v>
      </c>
      <c r="K32" s="237"/>
      <c r="L32" s="238"/>
      <c r="M32" s="239"/>
      <c r="N32" s="240"/>
      <c r="O32" s="241"/>
      <c r="P32" s="242" t="s">
        <v>138</v>
      </c>
    </row>
    <row r="33" spans="1:16">
      <c r="A33" s="10" t="s">
        <v>78</v>
      </c>
      <c r="B33" s="228" t="s">
        <v>15</v>
      </c>
      <c r="C33" s="229" t="s">
        <v>1007</v>
      </c>
      <c r="D33" s="230"/>
      <c r="E33" s="231"/>
      <c r="F33" s="232"/>
      <c r="G33" s="233"/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1007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15</v>
      </c>
      <c r="C38" s="388" t="s">
        <v>16</v>
      </c>
      <c r="D38" s="388" t="s">
        <v>31</v>
      </c>
      <c r="E38" s="246" t="s">
        <v>11</v>
      </c>
      <c r="F38" s="247" t="s">
        <v>11</v>
      </c>
      <c r="G38" s="248" t="s">
        <v>1050</v>
      </c>
      <c r="H38" s="249" t="s">
        <v>1050</v>
      </c>
      <c r="I38" s="20"/>
      <c r="J38" s="20"/>
      <c r="K38" s="20"/>
      <c r="L38" s="20"/>
      <c r="M38" s="20"/>
      <c r="N38" s="20"/>
      <c r="O38" s="20"/>
      <c r="P38" s="19" t="s">
        <v>1180</v>
      </c>
    </row>
    <row r="39" spans="1:16">
      <c r="A39" s="122" t="s">
        <v>233</v>
      </c>
      <c r="B39" s="243" t="s">
        <v>15</v>
      </c>
      <c r="C39" s="388" t="s">
        <v>16</v>
      </c>
      <c r="D39" s="388" t="s">
        <v>31</v>
      </c>
      <c r="E39" s="246" t="s">
        <v>11</v>
      </c>
      <c r="F39" s="247" t="s">
        <v>11</v>
      </c>
      <c r="G39" s="248" t="s">
        <v>1050</v>
      </c>
      <c r="H39" s="249" t="s">
        <v>1050</v>
      </c>
      <c r="I39" s="20"/>
      <c r="J39" s="20"/>
      <c r="K39" s="20"/>
      <c r="L39" s="20"/>
      <c r="M39" s="20"/>
      <c r="N39" s="20"/>
      <c r="O39" s="20"/>
      <c r="P39" s="17" t="s">
        <v>1180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1050</v>
      </c>
      <c r="H40" s="249" t="s">
        <v>1050</v>
      </c>
      <c r="I40" s="16"/>
      <c r="J40" s="16"/>
      <c r="K40" s="16"/>
      <c r="L40" s="16"/>
      <c r="M40" s="16"/>
      <c r="N40" s="16"/>
      <c r="O40" s="16"/>
      <c r="P40" s="17" t="s">
        <v>1180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1050</v>
      </c>
      <c r="H41" s="249" t="s">
        <v>1050</v>
      </c>
      <c r="I41" s="20"/>
      <c r="J41" s="20"/>
      <c r="K41" s="20"/>
      <c r="L41" s="20"/>
      <c r="M41" s="20"/>
      <c r="N41" s="20"/>
      <c r="O41" s="20"/>
      <c r="P41" s="19" t="s">
        <v>1180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1050</v>
      </c>
      <c r="H42" s="249" t="s">
        <v>1050</v>
      </c>
      <c r="I42" s="20"/>
      <c r="J42" s="20"/>
      <c r="K42" s="20"/>
      <c r="L42" s="20"/>
      <c r="M42" s="20"/>
      <c r="N42" s="20"/>
      <c r="O42" s="20"/>
      <c r="P42" s="17" t="s">
        <v>1180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1050</v>
      </c>
      <c r="H43" s="249" t="s">
        <v>1050</v>
      </c>
      <c r="I43" s="16"/>
      <c r="J43" s="16"/>
      <c r="K43" s="16"/>
      <c r="L43" s="16"/>
      <c r="M43" s="16"/>
      <c r="N43" s="16"/>
      <c r="O43" s="16"/>
      <c r="P43" s="17" t="s">
        <v>1180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1180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1180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1180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1180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1180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1180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1180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1180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1180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1180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1180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1180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1180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1180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1180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1180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1180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1180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1180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15</v>
      </c>
      <c r="C65" s="388" t="s">
        <v>32</v>
      </c>
      <c r="D65" s="255" t="s">
        <v>11</v>
      </c>
      <c r="E65" s="257" t="s">
        <v>11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1180</v>
      </c>
    </row>
    <row r="66" spans="1:16">
      <c r="A66" s="123" t="s">
        <v>235</v>
      </c>
      <c r="B66" s="250" t="s">
        <v>15</v>
      </c>
      <c r="C66" s="253" t="s">
        <v>32</v>
      </c>
      <c r="D66" s="255" t="s">
        <v>11</v>
      </c>
      <c r="E66" s="257" t="s">
        <v>11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1180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1180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1180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1180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1180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1180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1180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1180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1180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1180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1180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1180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1180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1180</v>
      </c>
    </row>
    <row r="88" spans="1:1">
      <c r="A88" s="11"/>
    </row>
  </sheetData>
  <sheetProtection algorithmName="SHA-512" hashValue="x3ll7rHMSyJJL06U3RML4oQ8sY2cMSxikIlBVQ8dt5foi0wOJf/e44A6P/wFie5DOobGyGZt+I9bYhKZkrwG6g==" saltValue="fyw7BgZM4DhpQjZyXkR1vg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5" t="s">
        <v>26</v>
      </c>
      <c r="B4" s="417" t="s">
        <v>27</v>
      </c>
      <c r="C4" s="417">
        <v>2</v>
      </c>
      <c r="D4" s="21">
        <v>1</v>
      </c>
      <c r="E4" s="262">
        <v>7805</v>
      </c>
      <c r="F4" s="263">
        <v>7255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5"/>
      <c r="B5" s="418"/>
      <c r="C5" s="419"/>
      <c r="D5" s="21">
        <v>2</v>
      </c>
      <c r="E5" s="262">
        <v>8030</v>
      </c>
      <c r="F5" s="263">
        <v>7480</v>
      </c>
      <c r="G5" s="264" t="s">
        <v>100</v>
      </c>
      <c r="H5" s="266" t="s">
        <v>108</v>
      </c>
      <c r="I5" s="268" t="s">
        <v>365</v>
      </c>
      <c r="J5" s="270" t="s">
        <v>383</v>
      </c>
      <c r="K5" s="272" t="s">
        <v>383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5"/>
      <c r="B6" s="418"/>
      <c r="C6" s="419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6" t="s">
        <v>33</v>
      </c>
      <c r="B7" s="418" t="s">
        <v>15</v>
      </c>
      <c r="C7" s="418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6"/>
      <c r="B8" s="418"/>
      <c r="C8" s="418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6"/>
      <c r="B9" s="418"/>
      <c r="C9" s="418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6" t="s">
        <v>34</v>
      </c>
      <c r="B10" s="418" t="s">
        <v>15</v>
      </c>
      <c r="C10" s="418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6"/>
      <c r="B11" s="418"/>
      <c r="C11" s="418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6"/>
      <c r="B12" s="418"/>
      <c r="C12" s="418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6" t="s">
        <v>35</v>
      </c>
      <c r="B13" s="418" t="s">
        <v>15</v>
      </c>
      <c r="C13" s="418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6"/>
      <c r="B14" s="418"/>
      <c r="C14" s="418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6"/>
      <c r="B15" s="418"/>
      <c r="C15" s="418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6" t="s">
        <v>36</v>
      </c>
      <c r="B16" s="418" t="s">
        <v>15</v>
      </c>
      <c r="C16" s="418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6"/>
      <c r="B17" s="418"/>
      <c r="C17" s="418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6"/>
      <c r="B18" s="418"/>
      <c r="C18" s="418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AINcLvH5V0xdO+utvLmzbFrDv2NHsCT48r9axLf9TfUx1sQafQ5Ld4x9vsH6Oef+rMgDQm9ZvLer//fAqAFmhA==" saltValue="JRdItOQ8NkZtgJ23fhkPzQ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44</v>
      </c>
      <c r="C5" s="283" t="s">
        <v>17</v>
      </c>
      <c r="D5" s="284" t="s">
        <v>373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1181</v>
      </c>
      <c r="J5" s="290" t="s">
        <v>1772</v>
      </c>
    </row>
    <row r="6" spans="1:10">
      <c r="A6" s="8" t="s">
        <v>45</v>
      </c>
      <c r="B6" s="282" t="s">
        <v>24</v>
      </c>
      <c r="C6" s="283" t="s">
        <v>17</v>
      </c>
      <c r="D6" s="284" t="s">
        <v>373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1182</v>
      </c>
      <c r="J6" s="290" t="s">
        <v>1183</v>
      </c>
    </row>
    <row r="7" spans="1:10">
      <c r="A7" s="8" t="s">
        <v>46</v>
      </c>
      <c r="B7" s="282" t="s">
        <v>98</v>
      </c>
      <c r="C7" s="283" t="s">
        <v>17</v>
      </c>
      <c r="D7" s="284" t="s">
        <v>373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1184</v>
      </c>
      <c r="J7" s="290" t="s">
        <v>1185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1180</v>
      </c>
      <c r="J8" s="290" t="s">
        <v>1180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1180</v>
      </c>
      <c r="J9" s="290" t="s">
        <v>1180</v>
      </c>
    </row>
  </sheetData>
  <sheetProtection algorithmName="SHA-512" hashValue="lJGEYo7uZEagswd/h9B7b98Kjp590gkmyLWYLKBYwiRhuDNXSrtA8GnRzTQL/Nezw716r0dM80pk7qijBPfqJQ==" saltValue="u9sTdHDdTJJvRCiiYZzsrg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1170</v>
      </c>
      <c r="B3" s="140"/>
      <c r="C3" s="140"/>
      <c r="D3" s="140"/>
    </row>
    <row r="4" spans="1:4">
      <c r="A4" s="141" t="s">
        <v>1171</v>
      </c>
      <c r="B4" s="142" t="s">
        <v>1172</v>
      </c>
      <c r="C4" s="142" t="s">
        <v>1173</v>
      </c>
      <c r="D4" s="142" t="s">
        <v>1174</v>
      </c>
    </row>
    <row r="5" spans="1:4">
      <c r="A5" s="143" t="s">
        <v>1175</v>
      </c>
      <c r="B5" s="291" t="s">
        <v>15</v>
      </c>
      <c r="C5" s="292">
        <v>0</v>
      </c>
      <c r="D5" s="293">
        <v>0</v>
      </c>
    </row>
    <row r="6" spans="1:4">
      <c r="A6" s="143" t="s">
        <v>1176</v>
      </c>
      <c r="B6" s="291" t="s">
        <v>15</v>
      </c>
      <c r="C6" s="292">
        <v>0</v>
      </c>
      <c r="D6" s="293">
        <v>0</v>
      </c>
    </row>
    <row r="7" spans="1:4">
      <c r="A7" s="143" t="s">
        <v>1177</v>
      </c>
      <c r="B7" s="291" t="s">
        <v>15</v>
      </c>
      <c r="C7" s="292">
        <v>0</v>
      </c>
      <c r="D7" s="293">
        <v>0</v>
      </c>
    </row>
    <row r="8" spans="1:4">
      <c r="A8" s="143" t="s">
        <v>1178</v>
      </c>
      <c r="B8" s="291" t="s">
        <v>15</v>
      </c>
      <c r="C8" s="292">
        <v>0</v>
      </c>
      <c r="D8" s="293">
        <v>0</v>
      </c>
    </row>
    <row r="9" spans="1:4">
      <c r="A9" s="143" t="s">
        <v>1179</v>
      </c>
      <c r="B9" s="291" t="s">
        <v>15</v>
      </c>
      <c r="C9" s="292">
        <v>0</v>
      </c>
      <c r="D9" s="293">
        <v>0</v>
      </c>
    </row>
  </sheetData>
  <sheetProtection algorithmName="SHA-512" hashValue="rzDQP8rdjk8BiZsCeWjoKxhnuTfA6tRHBSVCWuKv7L2zq2m7+iQprVcYxfVgymlLvdNgBujes9CwVvtHpQ4ypA==" saltValue="o3/GuYJdeYMMzx0llaDCzA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1647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4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5" t="s">
        <v>888</v>
      </c>
    </row>
    <row r="12" spans="1:2">
      <c r="A12" s="8" t="s">
        <v>565</v>
      </c>
      <c r="B12" s="295" t="s">
        <v>1009</v>
      </c>
    </row>
    <row r="13" spans="1:2">
      <c r="A13" s="8" t="s">
        <v>1645</v>
      </c>
      <c r="B13" s="295" t="s">
        <v>1010</v>
      </c>
    </row>
    <row r="14" spans="1:2">
      <c r="A14" s="8" t="s">
        <v>567</v>
      </c>
      <c r="B14" s="295" t="s">
        <v>1011</v>
      </c>
    </row>
    <row r="15" spans="1:2">
      <c r="A15" s="8" t="s">
        <v>568</v>
      </c>
      <c r="B15" s="295" t="s">
        <v>11</v>
      </c>
    </row>
    <row r="16" spans="1:2">
      <c r="A16" s="8" t="s">
        <v>569</v>
      </c>
      <c r="B16" s="295" t="s">
        <v>11</v>
      </c>
    </row>
    <row r="17" spans="1:22">
      <c r="A17" s="8" t="s">
        <v>570</v>
      </c>
      <c r="B17" s="295" t="s">
        <v>11</v>
      </c>
      <c r="G17" t="s">
        <v>352</v>
      </c>
    </row>
    <row r="18" spans="1:22">
      <c r="A18" s="8" t="s">
        <v>571</v>
      </c>
      <c r="B18" s="295" t="s">
        <v>11</v>
      </c>
    </row>
    <row r="19" spans="1:22">
      <c r="A19" s="8" t="s">
        <v>572</v>
      </c>
      <c r="B19" s="295" t="s">
        <v>11</v>
      </c>
    </row>
    <row r="20" spans="1:22">
      <c r="A20" s="8" t="s">
        <v>573</v>
      </c>
      <c r="B20" s="295" t="s">
        <v>11</v>
      </c>
    </row>
    <row r="21" spans="1:22">
      <c r="A21" s="8" t="s">
        <v>1013</v>
      </c>
      <c r="B21" s="295" t="s">
        <v>11</v>
      </c>
    </row>
    <row r="22" spans="1:22">
      <c r="A22" s="8" t="s">
        <v>1014</v>
      </c>
      <c r="B22" s="295" t="s">
        <v>11</v>
      </c>
    </row>
    <row r="23" spans="1:22">
      <c r="A23" s="8" t="s">
        <v>1015</v>
      </c>
      <c r="B23" s="295" t="s">
        <v>11</v>
      </c>
    </row>
    <row r="24" spans="1:22">
      <c r="A24" s="8" t="s">
        <v>1016</v>
      </c>
      <c r="B24" s="295" t="s">
        <v>11</v>
      </c>
    </row>
    <row r="25" spans="1:22">
      <c r="A25" s="8" t="s">
        <v>1017</v>
      </c>
      <c r="B25" s="295" t="s">
        <v>11</v>
      </c>
    </row>
    <row r="26" spans="1:22">
      <c r="A26" s="8" t="s">
        <v>1018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1643</v>
      </c>
    </row>
    <row r="32" spans="1:22">
      <c r="A32" s="9" t="s">
        <v>81</v>
      </c>
      <c r="B32" s="2" t="s">
        <v>1642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1568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564</v>
      </c>
      <c r="D33" s="299" t="s">
        <v>564</v>
      </c>
      <c r="E33" s="300" t="s">
        <v>472</v>
      </c>
      <c r="F33" s="301" t="s">
        <v>606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1284</v>
      </c>
    </row>
    <row r="34" spans="1:22">
      <c r="A34" s="10" t="s">
        <v>56</v>
      </c>
      <c r="B34" s="17" t="str">
        <v>LTE_Band2</v>
      </c>
      <c r="C34" s="297" t="s">
        <v>564</v>
      </c>
      <c r="D34" s="299" t="s">
        <v>564</v>
      </c>
      <c r="E34" s="300" t="s">
        <v>472</v>
      </c>
      <c r="F34" s="301" t="s">
        <v>606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1285</v>
      </c>
    </row>
    <row r="35" spans="1:22">
      <c r="A35" s="10" t="s">
        <v>57</v>
      </c>
      <c r="B35" s="17" t="str">
        <v>LTE_Band3</v>
      </c>
      <c r="C35" s="297" t="s">
        <v>564</v>
      </c>
      <c r="D35" s="299" t="s">
        <v>564</v>
      </c>
      <c r="E35" s="300" t="s">
        <v>472</v>
      </c>
      <c r="F35" s="301" t="s">
        <v>606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1286</v>
      </c>
    </row>
    <row r="36" spans="1:22">
      <c r="A36" s="10" t="s">
        <v>58</v>
      </c>
      <c r="B36" s="17" t="str">
        <v>LTE_Band4</v>
      </c>
      <c r="C36" s="297" t="s">
        <v>564</v>
      </c>
      <c r="D36" s="299" t="s">
        <v>564</v>
      </c>
      <c r="E36" s="300" t="s">
        <v>472</v>
      </c>
      <c r="F36" s="301" t="s">
        <v>606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1287</v>
      </c>
    </row>
    <row r="37" spans="1:22">
      <c r="A37" s="10" t="s">
        <v>59</v>
      </c>
      <c r="B37" s="17" t="str">
        <v>LTE_Band5</v>
      </c>
      <c r="C37" s="297" t="s">
        <v>565</v>
      </c>
      <c r="D37" s="299" t="s">
        <v>565</v>
      </c>
      <c r="E37" s="300" t="s">
        <v>472</v>
      </c>
      <c r="F37" s="301" t="s">
        <v>606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1288</v>
      </c>
    </row>
    <row r="38" spans="1:22">
      <c r="A38" s="10" t="s">
        <v>60</v>
      </c>
      <c r="B38" s="17" t="str">
        <v>LTE_Band7</v>
      </c>
      <c r="C38" s="297" t="s">
        <v>564</v>
      </c>
      <c r="D38" s="299" t="s">
        <v>564</v>
      </c>
      <c r="E38" s="300" t="s">
        <v>472</v>
      </c>
      <c r="F38" s="301" t="s">
        <v>606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1289</v>
      </c>
    </row>
    <row r="39" spans="1:22">
      <c r="A39" s="10" t="s">
        <v>61</v>
      </c>
      <c r="B39" s="17" t="str">
        <v>LTE_Band8</v>
      </c>
      <c r="C39" s="297" t="s">
        <v>564</v>
      </c>
      <c r="D39" s="299" t="s">
        <v>564</v>
      </c>
      <c r="E39" s="300" t="s">
        <v>472</v>
      </c>
      <c r="F39" s="301" t="s">
        <v>606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1290</v>
      </c>
    </row>
    <row r="40" spans="1:22">
      <c r="A40" s="10" t="s">
        <v>62</v>
      </c>
      <c r="B40" s="17" t="str">
        <v>LTE_Band12</v>
      </c>
      <c r="C40" s="297" t="s">
        <v>567</v>
      </c>
      <c r="D40" s="299" t="s">
        <v>567</v>
      </c>
      <c r="E40" s="300" t="s">
        <v>472</v>
      </c>
      <c r="F40" s="301" t="s">
        <v>606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1291</v>
      </c>
    </row>
    <row r="41" spans="1:22">
      <c r="A41" s="10" t="s">
        <v>63</v>
      </c>
      <c r="B41" s="17" t="str">
        <v>LTE_Band17</v>
      </c>
      <c r="C41" s="297" t="s">
        <v>567</v>
      </c>
      <c r="D41" s="299" t="s">
        <v>567</v>
      </c>
      <c r="E41" s="300" t="s">
        <v>472</v>
      </c>
      <c r="F41" s="301" t="s">
        <v>606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1292</v>
      </c>
    </row>
    <row r="42" spans="1:22">
      <c r="A42" s="10" t="s">
        <v>64</v>
      </c>
      <c r="B42" s="17" t="str">
        <v>LTE_Band20</v>
      </c>
      <c r="C42" s="297" t="s">
        <v>566</v>
      </c>
      <c r="D42" s="299" t="s">
        <v>566</v>
      </c>
      <c r="E42" s="300" t="s">
        <v>472</v>
      </c>
      <c r="F42" s="301" t="s">
        <v>606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1293</v>
      </c>
    </row>
    <row r="43" spans="1:22">
      <c r="A43" s="10" t="s">
        <v>65</v>
      </c>
      <c r="B43" s="17" t="str">
        <v>LTE_Band26</v>
      </c>
      <c r="C43" s="297" t="s">
        <v>565</v>
      </c>
      <c r="D43" s="299" t="s">
        <v>565</v>
      </c>
      <c r="E43" s="300" t="s">
        <v>472</v>
      </c>
      <c r="F43" s="301" t="s">
        <v>606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1294</v>
      </c>
    </row>
    <row r="44" spans="1:22">
      <c r="A44" s="10" t="s">
        <v>66</v>
      </c>
      <c r="B44" s="17" t="str">
        <v>LTE_Band27</v>
      </c>
      <c r="C44" s="297" t="s">
        <v>566</v>
      </c>
      <c r="D44" s="299" t="s">
        <v>566</v>
      </c>
      <c r="E44" s="300" t="s">
        <v>472</v>
      </c>
      <c r="F44" s="301" t="s">
        <v>606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1295</v>
      </c>
    </row>
    <row r="45" spans="1:22">
      <c r="A45" s="10" t="s">
        <v>67</v>
      </c>
      <c r="B45" s="17" t="str">
        <v>LTE_Band28</v>
      </c>
      <c r="C45" s="297" t="s">
        <v>567</v>
      </c>
      <c r="D45" s="299" t="s">
        <v>567</v>
      </c>
      <c r="E45" s="300" t="s">
        <v>472</v>
      </c>
      <c r="F45" s="301" t="s">
        <v>606</v>
      </c>
      <c r="G45" s="302">
        <v>7805</v>
      </c>
      <c r="H45" s="303" t="s">
        <v>567</v>
      </c>
      <c r="I45" s="304" t="s">
        <v>567</v>
      </c>
      <c r="J45" s="305">
        <v>8030</v>
      </c>
      <c r="K45" s="306" t="s">
        <v>567</v>
      </c>
      <c r="L45" s="307" t="s">
        <v>567</v>
      </c>
      <c r="M45" s="308">
        <v>0</v>
      </c>
      <c r="N45" s="309" t="s">
        <v>564</v>
      </c>
      <c r="O45" s="310" t="s">
        <v>564</v>
      </c>
      <c r="P45" s="311">
        <v>0</v>
      </c>
      <c r="Q45" s="312" t="s">
        <v>564</v>
      </c>
      <c r="R45" s="313" t="s">
        <v>564</v>
      </c>
      <c r="S45" s="314">
        <v>0</v>
      </c>
      <c r="T45" s="315" t="s">
        <v>564</v>
      </c>
      <c r="U45" s="316" t="s">
        <v>564</v>
      </c>
      <c r="V45" s="89" t="s">
        <v>1296</v>
      </c>
    </row>
    <row r="46" spans="1:22">
      <c r="A46" s="10" t="s">
        <v>68</v>
      </c>
      <c r="B46" s="17" t="str">
        <v>LTE_Band32</v>
      </c>
      <c r="C46" s="297" t="s">
        <v>564</v>
      </c>
      <c r="D46" s="299" t="s">
        <v>564</v>
      </c>
      <c r="E46" s="300" t="s">
        <v>472</v>
      </c>
      <c r="F46" s="301" t="s">
        <v>606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1297</v>
      </c>
    </row>
    <row r="47" spans="1:22">
      <c r="A47" s="10" t="s">
        <v>69</v>
      </c>
      <c r="B47" s="17" t="str">
        <v>LTE_Band38</v>
      </c>
      <c r="C47" s="297" t="s">
        <v>564</v>
      </c>
      <c r="D47" s="299" t="s">
        <v>564</v>
      </c>
      <c r="E47" s="300" t="s">
        <v>472</v>
      </c>
      <c r="F47" s="301" t="s">
        <v>606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1298</v>
      </c>
    </row>
    <row r="48" spans="1:22">
      <c r="A48" s="10" t="s">
        <v>70</v>
      </c>
      <c r="B48" s="17" t="str">
        <v>LTE_Band39</v>
      </c>
      <c r="C48" s="297" t="s">
        <v>564</v>
      </c>
      <c r="D48" s="299" t="s">
        <v>564</v>
      </c>
      <c r="E48" s="300" t="s">
        <v>472</v>
      </c>
      <c r="F48" s="301" t="s">
        <v>606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1299</v>
      </c>
    </row>
    <row r="49" spans="1:22">
      <c r="A49" s="10" t="s">
        <v>71</v>
      </c>
      <c r="B49" s="17" t="str">
        <v>LTE_Band40</v>
      </c>
      <c r="C49" s="297" t="s">
        <v>564</v>
      </c>
      <c r="D49" s="299" t="s">
        <v>564</v>
      </c>
      <c r="E49" s="300" t="s">
        <v>472</v>
      </c>
      <c r="F49" s="301" t="s">
        <v>606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1300</v>
      </c>
    </row>
    <row r="50" spans="1:22">
      <c r="A50" s="10" t="s">
        <v>72</v>
      </c>
      <c r="B50" s="17" t="str">
        <v>LTE_Band41</v>
      </c>
      <c r="C50" s="297" t="s">
        <v>564</v>
      </c>
      <c r="D50" s="299" t="s">
        <v>564</v>
      </c>
      <c r="E50" s="300" t="s">
        <v>472</v>
      </c>
      <c r="F50" s="301" t="s">
        <v>606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1301</v>
      </c>
    </row>
    <row r="51" spans="1:22">
      <c r="A51" s="10" t="s">
        <v>73</v>
      </c>
      <c r="B51" s="17" t="str">
        <v>LTE_Band34</v>
      </c>
      <c r="C51" s="297" t="s">
        <v>564</v>
      </c>
      <c r="D51" s="299" t="s">
        <v>564</v>
      </c>
      <c r="E51" s="300" t="s">
        <v>472</v>
      </c>
      <c r="F51" s="301" t="s">
        <v>606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1302</v>
      </c>
    </row>
    <row r="52" spans="1:22">
      <c r="A52" s="10" t="s">
        <v>74</v>
      </c>
      <c r="B52" s="17" t="str">
        <v>LTE_BandNone</v>
      </c>
      <c r="C52" s="296"/>
      <c r="D52" s="298"/>
      <c r="E52" s="300" t="s">
        <v>472</v>
      </c>
      <c r="F52" s="301" t="s">
        <v>606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1303</v>
      </c>
    </row>
    <row r="53" spans="1:22">
      <c r="A53" s="10" t="s">
        <v>75</v>
      </c>
      <c r="B53" s="17" t="str">
        <v>LTE_BandNone</v>
      </c>
      <c r="C53" s="296"/>
      <c r="D53" s="298"/>
      <c r="E53" s="300" t="s">
        <v>472</v>
      </c>
      <c r="F53" s="301" t="s">
        <v>606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1304</v>
      </c>
    </row>
    <row r="54" spans="1:22">
      <c r="A54" s="10" t="s">
        <v>76</v>
      </c>
      <c r="B54" s="17" t="str">
        <v>LTE_BandNone</v>
      </c>
      <c r="C54" s="296"/>
      <c r="D54" s="298"/>
      <c r="E54" s="300" t="s">
        <v>472</v>
      </c>
      <c r="F54" s="301" t="s">
        <v>606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1305</v>
      </c>
    </row>
    <row r="55" spans="1:22">
      <c r="A55" s="10" t="s">
        <v>77</v>
      </c>
      <c r="B55" s="17" t="str">
        <v>LTE_BandNone</v>
      </c>
      <c r="C55" s="296"/>
      <c r="D55" s="298"/>
      <c r="E55" s="300" t="s">
        <v>472</v>
      </c>
      <c r="F55" s="301" t="s">
        <v>606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1306</v>
      </c>
    </row>
    <row r="56" spans="1:22">
      <c r="A56" s="10" t="s">
        <v>78</v>
      </c>
      <c r="B56" s="17" t="str">
        <v>LTE_BandNone</v>
      </c>
      <c r="C56" s="296"/>
      <c r="D56" s="298"/>
      <c r="E56" s="300" t="s">
        <v>472</v>
      </c>
      <c r="F56" s="301" t="s">
        <v>606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1307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606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1308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1568</v>
      </c>
    </row>
    <row r="64" spans="1:22">
      <c r="A64" s="10" t="s">
        <v>588</v>
      </c>
      <c r="B64" s="317" t="s">
        <v>92</v>
      </c>
      <c r="C64" s="318" t="s">
        <v>565</v>
      </c>
      <c r="D64" s="319" t="s">
        <v>565</v>
      </c>
      <c r="E64" s="320" t="s">
        <v>472</v>
      </c>
      <c r="F64" s="321" t="s">
        <v>606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1310</v>
      </c>
    </row>
    <row r="65" spans="1:22">
      <c r="A65" s="10" t="s">
        <v>589</v>
      </c>
      <c r="B65" s="317" t="s">
        <v>15</v>
      </c>
      <c r="C65" s="318"/>
      <c r="D65" s="319"/>
      <c r="E65" s="320" t="s">
        <v>473</v>
      </c>
      <c r="F65" s="321" t="s">
        <v>606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1311</v>
      </c>
    </row>
    <row r="66" spans="1:22">
      <c r="A66" s="10" t="s">
        <v>590</v>
      </c>
      <c r="B66" s="317" t="s">
        <v>15</v>
      </c>
      <c r="C66" s="318"/>
      <c r="D66" s="319"/>
      <c r="E66" s="320" t="s">
        <v>473</v>
      </c>
      <c r="F66" s="321" t="s">
        <v>606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1312</v>
      </c>
    </row>
    <row r="67" spans="1:22">
      <c r="A67" s="10" t="s">
        <v>591</v>
      </c>
      <c r="B67" s="317" t="s">
        <v>15</v>
      </c>
      <c r="C67" s="318"/>
      <c r="D67" s="319"/>
      <c r="E67" s="320" t="s">
        <v>473</v>
      </c>
      <c r="F67" s="321" t="s">
        <v>606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1313</v>
      </c>
    </row>
    <row r="68" spans="1:22">
      <c r="A68" s="10" t="s">
        <v>592</v>
      </c>
      <c r="B68" s="317" t="s">
        <v>15</v>
      </c>
      <c r="C68" s="318"/>
      <c r="D68" s="319"/>
      <c r="E68" s="320" t="s">
        <v>473</v>
      </c>
      <c r="F68" s="321" t="s">
        <v>606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1314</v>
      </c>
    </row>
    <row r="69" spans="1:22">
      <c r="A69" s="10" t="s">
        <v>593</v>
      </c>
      <c r="B69" s="317" t="s">
        <v>15</v>
      </c>
      <c r="C69" s="318"/>
      <c r="D69" s="319"/>
      <c r="E69" s="320" t="s">
        <v>473</v>
      </c>
      <c r="F69" s="321" t="s">
        <v>606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1315</v>
      </c>
    </row>
    <row r="70" spans="1:22">
      <c r="A70" s="10" t="s">
        <v>594</v>
      </c>
      <c r="B70" s="317" t="s">
        <v>15</v>
      </c>
      <c r="C70" s="318"/>
      <c r="D70" s="319"/>
      <c r="E70" s="320" t="s">
        <v>473</v>
      </c>
      <c r="F70" s="321" t="s">
        <v>606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1316</v>
      </c>
    </row>
    <row r="71" spans="1:22">
      <c r="A71" s="10" t="s">
        <v>595</v>
      </c>
      <c r="B71" s="317" t="s">
        <v>15</v>
      </c>
      <c r="C71" s="318"/>
      <c r="D71" s="319"/>
      <c r="E71" s="320" t="s">
        <v>473</v>
      </c>
      <c r="F71" s="321" t="s">
        <v>606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1317</v>
      </c>
    </row>
    <row r="72" spans="1:22">
      <c r="A72" s="10" t="s">
        <v>596</v>
      </c>
      <c r="B72" s="317" t="s">
        <v>15</v>
      </c>
      <c r="C72" s="318"/>
      <c r="D72" s="319"/>
      <c r="E72" s="320" t="s">
        <v>473</v>
      </c>
      <c r="F72" s="321" t="s">
        <v>606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1318</v>
      </c>
    </row>
    <row r="73" spans="1:22">
      <c r="A73" s="10" t="s">
        <v>597</v>
      </c>
      <c r="B73" s="317" t="s">
        <v>15</v>
      </c>
      <c r="C73" s="318"/>
      <c r="D73" s="319"/>
      <c r="E73" s="320" t="s">
        <v>473</v>
      </c>
      <c r="F73" s="321" t="s">
        <v>606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1319</v>
      </c>
    </row>
    <row r="74" spans="1:22">
      <c r="A74" s="10" t="s">
        <v>598</v>
      </c>
      <c r="B74" s="317" t="s">
        <v>15</v>
      </c>
      <c r="C74" s="318"/>
      <c r="D74" s="319"/>
      <c r="E74" s="320" t="s">
        <v>473</v>
      </c>
      <c r="F74" s="321" t="s">
        <v>606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1320</v>
      </c>
    </row>
    <row r="75" spans="1:22">
      <c r="A75" s="10" t="s">
        <v>599</v>
      </c>
      <c r="B75" s="317" t="s">
        <v>15</v>
      </c>
      <c r="C75" s="318"/>
      <c r="D75" s="319"/>
      <c r="E75" s="320" t="s">
        <v>473</v>
      </c>
      <c r="F75" s="321" t="s">
        <v>606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1321</v>
      </c>
    </row>
    <row r="76" spans="1:22">
      <c r="A76" s="10" t="s">
        <v>600</v>
      </c>
      <c r="B76" s="317" t="s">
        <v>15</v>
      </c>
      <c r="C76" s="318"/>
      <c r="D76" s="319"/>
      <c r="E76" s="320" t="s">
        <v>473</v>
      </c>
      <c r="F76" s="321" t="s">
        <v>606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1322</v>
      </c>
    </row>
    <row r="77" spans="1:22">
      <c r="A77" s="10" t="s">
        <v>601</v>
      </c>
      <c r="B77" s="317" t="s">
        <v>15</v>
      </c>
      <c r="C77" s="318"/>
      <c r="D77" s="319"/>
      <c r="E77" s="320" t="s">
        <v>473</v>
      </c>
      <c r="F77" s="321" t="s">
        <v>606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1323</v>
      </c>
    </row>
    <row r="78" spans="1:22">
      <c r="A78" s="10" t="s">
        <v>602</v>
      </c>
      <c r="B78" s="317" t="s">
        <v>15</v>
      </c>
      <c r="C78" s="318"/>
      <c r="D78" s="319"/>
      <c r="E78" s="320" t="s">
        <v>473</v>
      </c>
      <c r="F78" s="321" t="s">
        <v>606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1324</v>
      </c>
    </row>
  </sheetData>
  <sheetProtection algorithmName="SHA-512" hashValue="8VPq5YAiHbG3VpIwhJ7SaS5lQ1jBasUfQ3fmA2r3a8sFXxoVnrYk0m5piG2fJloc/zVxrQkAUXnC4LfLgqYtag==" saltValue="R7vyRod02nGJYFJ4i1RL0w==" spinCount="100000" sheet="1" objects="1" scenarios="1"/>
  <phoneticPr fontId="12" type="noConversion"/>
  <conditionalFormatting sqref="C33:D57">
    <cfRule type="expression" dxfId="263" priority="3">
      <formula>$F33="SPLIT"</formula>
    </cfRule>
  </conditionalFormatting>
  <conditionalFormatting sqref="G33:U57">
    <cfRule type="expression" dxfId="262" priority="2">
      <formula>$F33="SINGLE"</formula>
    </cfRule>
  </conditionalFormatting>
  <conditionalFormatting sqref="C64:D78">
    <cfRule type="expression" dxfId="261" priority="6">
      <formula>$F64="SPLIT"</formula>
    </cfRule>
  </conditionalFormatting>
  <conditionalFormatting sqref="G64:U78">
    <cfRule type="expression" dxfId="260" priority="5">
      <formula>$F64="SINGLE"</formula>
    </cfRule>
  </conditionalFormatting>
  <conditionalFormatting sqref="A10:B26 A31:V57 A62:V78">
    <cfRule type="expression" dxfId="25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1647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1" t="s">
        <v>653</v>
      </c>
      <c r="B6" s="110" t="s">
        <v>654</v>
      </c>
      <c r="C6" s="110" t="s">
        <v>655</v>
      </c>
      <c r="D6" s="110" t="s">
        <v>656</v>
      </c>
      <c r="E6" s="110" t="s">
        <v>657</v>
      </c>
    </row>
    <row r="7" spans="1:5">
      <c r="A7" s="337" t="s">
        <v>658</v>
      </c>
      <c r="B7" s="338" t="s">
        <v>659</v>
      </c>
      <c r="C7" s="339" t="s">
        <v>660</v>
      </c>
      <c r="D7" s="340" t="s">
        <v>659</v>
      </c>
      <c r="E7" s="341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2" t="s">
        <v>678</v>
      </c>
      <c r="B12" s="113" t="s">
        <v>908</v>
      </c>
      <c r="C12" s="113" t="s">
        <v>909</v>
      </c>
      <c r="D12" s="113" t="s">
        <v>910</v>
      </c>
      <c r="E12" s="114" t="s">
        <v>926</v>
      </c>
    </row>
    <row r="13" spans="1:5" ht="15.75" thickBot="1">
      <c r="A13" s="124" t="s">
        <v>671</v>
      </c>
      <c r="B13" s="342" t="s">
        <v>860</v>
      </c>
      <c r="C13" s="343" t="s">
        <v>11</v>
      </c>
      <c r="D13" s="344" t="s">
        <v>789</v>
      </c>
      <c r="E13" s="411">
        <v>4</v>
      </c>
    </row>
    <row r="14" spans="1:5">
      <c r="A14" s="124" t="s">
        <v>672</v>
      </c>
      <c r="B14" s="342" t="s">
        <v>860</v>
      </c>
      <c r="C14" s="343" t="s">
        <v>860</v>
      </c>
      <c r="D14" s="344" t="s">
        <v>789</v>
      </c>
      <c r="E14" s="106"/>
    </row>
    <row r="15" spans="1:5">
      <c r="A15" s="124" t="s">
        <v>680</v>
      </c>
      <c r="B15" s="342"/>
      <c r="C15" s="343"/>
      <c r="D15" s="344" t="s">
        <v>789</v>
      </c>
      <c r="E15" s="106"/>
    </row>
    <row r="16" spans="1:5">
      <c r="A16" s="124" t="s">
        <v>681</v>
      </c>
      <c r="B16" s="342"/>
      <c r="C16" s="343"/>
      <c r="D16" s="344" t="s">
        <v>789</v>
      </c>
      <c r="E16" s="106"/>
    </row>
    <row r="17" spans="1:5" ht="15.75" thickBot="1">
      <c r="A17" s="5"/>
    </row>
    <row r="18" spans="1:5">
      <c r="A18" s="115" t="s">
        <v>670</v>
      </c>
    </row>
    <row r="19" spans="1:5" ht="15.75" thickBot="1">
      <c r="A19" s="112" t="s">
        <v>679</v>
      </c>
      <c r="B19" s="113" t="s">
        <v>908</v>
      </c>
      <c r="C19" s="113" t="s">
        <v>909</v>
      </c>
      <c r="D19" s="113" t="s">
        <v>910</v>
      </c>
      <c r="E19" s="114" t="s">
        <v>927</v>
      </c>
    </row>
    <row r="20" spans="1:5" ht="15.75" thickBot="1">
      <c r="A20" s="124" t="s">
        <v>673</v>
      </c>
      <c r="B20" s="345" t="s">
        <v>1773</v>
      </c>
      <c r="C20" s="346" t="s">
        <v>888</v>
      </c>
      <c r="D20" s="347" t="s">
        <v>790</v>
      </c>
      <c r="E20" s="412">
        <v>4</v>
      </c>
    </row>
    <row r="21" spans="1:5">
      <c r="A21" s="124" t="s">
        <v>674</v>
      </c>
      <c r="B21" s="345" t="s">
        <v>1773</v>
      </c>
      <c r="C21" s="346" t="s">
        <v>889</v>
      </c>
      <c r="D21" s="347" t="s">
        <v>790</v>
      </c>
      <c r="E21" s="105"/>
    </row>
    <row r="22" spans="1:5">
      <c r="A22" s="124" t="s">
        <v>675</v>
      </c>
      <c r="B22" s="345" t="s">
        <v>1773</v>
      </c>
      <c r="C22" s="346" t="s">
        <v>1009</v>
      </c>
      <c r="D22" s="347" t="s">
        <v>790</v>
      </c>
      <c r="E22" s="105"/>
    </row>
    <row r="23" spans="1:5">
      <c r="A23" s="124" t="s">
        <v>676</v>
      </c>
      <c r="B23" s="345" t="s">
        <v>1773</v>
      </c>
      <c r="C23" s="346" t="s">
        <v>1774</v>
      </c>
      <c r="D23" s="347" t="s">
        <v>790</v>
      </c>
      <c r="E23" s="105"/>
    </row>
    <row r="24" spans="1:5">
      <c r="A24" s="124" t="s">
        <v>687</v>
      </c>
      <c r="B24" s="345" t="s">
        <v>1773</v>
      </c>
      <c r="C24" s="346" t="s">
        <v>1010</v>
      </c>
      <c r="D24" s="347" t="s">
        <v>790</v>
      </c>
      <c r="E24" s="105"/>
    </row>
    <row r="25" spans="1:5">
      <c r="A25" s="124" t="s">
        <v>688</v>
      </c>
      <c r="B25" s="345" t="s">
        <v>1773</v>
      </c>
      <c r="C25" s="346" t="s">
        <v>1775</v>
      </c>
      <c r="D25" s="347" t="s">
        <v>790</v>
      </c>
      <c r="E25" s="105"/>
    </row>
    <row r="26" spans="1:5">
      <c r="A26" s="124" t="s">
        <v>689</v>
      </c>
      <c r="B26" s="345" t="s">
        <v>1773</v>
      </c>
      <c r="C26" s="346" t="s">
        <v>1011</v>
      </c>
      <c r="D26" s="347" t="s">
        <v>790</v>
      </c>
      <c r="E26" s="105"/>
    </row>
    <row r="27" spans="1:5">
      <c r="A27" s="124" t="s">
        <v>690</v>
      </c>
      <c r="B27" s="345" t="s">
        <v>1773</v>
      </c>
      <c r="C27" s="346" t="s">
        <v>1776</v>
      </c>
      <c r="D27" s="347" t="s">
        <v>790</v>
      </c>
      <c r="E27" s="105"/>
    </row>
    <row r="28" spans="1:5">
      <c r="A28" s="124" t="s">
        <v>691</v>
      </c>
      <c r="B28" s="345"/>
      <c r="C28" s="346"/>
      <c r="D28" s="347"/>
      <c r="E28" s="105"/>
    </row>
    <row r="29" spans="1:5">
      <c r="A29" s="124" t="s">
        <v>692</v>
      </c>
      <c r="B29" s="345"/>
      <c r="C29" s="346"/>
      <c r="D29" s="347"/>
      <c r="E29" s="105"/>
    </row>
    <row r="30" spans="1:5">
      <c r="A30" s="124" t="s">
        <v>693</v>
      </c>
      <c r="B30" s="345"/>
      <c r="C30" s="346"/>
      <c r="D30" s="347"/>
      <c r="E30" s="105"/>
    </row>
    <row r="31" spans="1:5">
      <c r="A31" s="124" t="s">
        <v>694</v>
      </c>
      <c r="B31" s="345"/>
      <c r="C31" s="346"/>
      <c r="D31" s="347"/>
      <c r="E31" s="105"/>
    </row>
    <row r="32" spans="1:5">
      <c r="A32" s="124" t="s">
        <v>695</v>
      </c>
      <c r="B32" s="345"/>
      <c r="C32" s="346"/>
      <c r="D32" s="347"/>
      <c r="E32" s="105"/>
    </row>
    <row r="33" spans="1:5">
      <c r="A33" s="124" t="s">
        <v>696</v>
      </c>
      <c r="B33" s="345"/>
      <c r="C33" s="346"/>
      <c r="D33" s="347"/>
      <c r="E33" s="105"/>
    </row>
    <row r="34" spans="1:5">
      <c r="A34" s="124" t="s">
        <v>697</v>
      </c>
      <c r="B34" s="345"/>
      <c r="C34" s="346"/>
      <c r="D34" s="347"/>
      <c r="E34" s="105"/>
    </row>
    <row r="35" spans="1:5">
      <c r="A35" s="124" t="s">
        <v>698</v>
      </c>
      <c r="B35" s="345"/>
      <c r="C35" s="346"/>
      <c r="D35" s="347"/>
      <c r="E35" s="105"/>
    </row>
    <row r="36" spans="1:5">
      <c r="A36" s="124" t="s">
        <v>699</v>
      </c>
      <c r="B36" s="345"/>
      <c r="C36" s="346"/>
      <c r="D36" s="347"/>
      <c r="E36" s="105"/>
    </row>
    <row r="37" spans="1:5">
      <c r="A37" s="124" t="s">
        <v>700</v>
      </c>
      <c r="B37" s="345"/>
      <c r="C37" s="346"/>
      <c r="D37" s="347"/>
      <c r="E37" s="105"/>
    </row>
    <row r="38" spans="1:5">
      <c r="A38" s="124" t="s">
        <v>701</v>
      </c>
      <c r="B38" s="345"/>
      <c r="C38" s="346"/>
      <c r="D38" s="347"/>
      <c r="E38" s="105"/>
    </row>
    <row r="39" spans="1:5">
      <c r="A39" s="124" t="s">
        <v>702</v>
      </c>
      <c r="B39" s="345"/>
      <c r="C39" s="346"/>
      <c r="D39" s="347"/>
      <c r="E39" s="105"/>
    </row>
    <row r="40" spans="1:5">
      <c r="A40" s="124" t="s">
        <v>703</v>
      </c>
      <c r="B40" s="345"/>
      <c r="C40" s="346"/>
      <c r="D40" s="347"/>
      <c r="E40" s="105"/>
    </row>
    <row r="41" spans="1:5">
      <c r="A41" s="124" t="s">
        <v>704</v>
      </c>
      <c r="B41" s="345"/>
      <c r="C41" s="346"/>
      <c r="D41" s="347"/>
      <c r="E41" s="105"/>
    </row>
    <row r="42" spans="1:5">
      <c r="A42" s="124" t="s">
        <v>705</v>
      </c>
      <c r="B42" s="345"/>
      <c r="C42" s="346"/>
      <c r="D42" s="347"/>
      <c r="E42" s="105"/>
    </row>
    <row r="43" spans="1:5">
      <c r="A43" s="124" t="s">
        <v>706</v>
      </c>
      <c r="B43" s="345"/>
      <c r="C43" s="346"/>
      <c r="D43" s="347"/>
      <c r="E43" s="105"/>
    </row>
    <row r="44" spans="1:5">
      <c r="A44" s="124" t="s">
        <v>707</v>
      </c>
      <c r="B44" s="345"/>
      <c r="C44" s="346"/>
      <c r="D44" s="347"/>
      <c r="E44" s="105"/>
    </row>
    <row r="45" spans="1:5">
      <c r="A45" s="124" t="s">
        <v>708</v>
      </c>
      <c r="B45" s="345"/>
      <c r="C45" s="346"/>
      <c r="D45" s="347"/>
      <c r="E45" s="105"/>
    </row>
    <row r="46" spans="1:5">
      <c r="A46" s="124" t="s">
        <v>709</v>
      </c>
      <c r="B46" s="345"/>
      <c r="C46" s="346"/>
      <c r="D46" s="347"/>
      <c r="E46" s="105"/>
    </row>
    <row r="47" spans="1:5">
      <c r="A47" s="124" t="s">
        <v>710</v>
      </c>
      <c r="B47" s="345"/>
      <c r="C47" s="346"/>
      <c r="D47" s="347"/>
      <c r="E47" s="105"/>
    </row>
    <row r="48" spans="1:5">
      <c r="A48" s="124" t="s">
        <v>711</v>
      </c>
      <c r="B48" s="345"/>
      <c r="C48" s="346"/>
      <c r="D48" s="347"/>
      <c r="E48" s="105"/>
    </row>
    <row r="49" spans="1:18">
      <c r="A49" s="124" t="s">
        <v>712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1" t="s">
        <v>1629</v>
      </c>
      <c r="K54" s="422"/>
      <c r="L54" s="421" t="s">
        <v>1630</v>
      </c>
      <c r="M54" s="422"/>
      <c r="N54" s="421" t="s">
        <v>1631</v>
      </c>
      <c r="O54" s="423"/>
      <c r="P54" s="421" t="s">
        <v>1632</v>
      </c>
      <c r="Q54" s="422"/>
    </row>
    <row r="55" spans="1:18">
      <c r="A55" s="116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7" t="s">
        <v>718</v>
      </c>
      <c r="L55" s="2" t="s">
        <v>715</v>
      </c>
      <c r="M55" s="117" t="s">
        <v>719</v>
      </c>
      <c r="N55" s="2" t="s">
        <v>716</v>
      </c>
      <c r="O55" s="117" t="s">
        <v>720</v>
      </c>
      <c r="P55" s="2" t="s">
        <v>753</v>
      </c>
      <c r="Q55" s="117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48" t="b">
        <v>0</v>
      </c>
      <c r="D56" s="349" t="s">
        <v>606</v>
      </c>
      <c r="E56" s="350">
        <v>4</v>
      </c>
      <c r="F56" s="351" t="s">
        <v>659</v>
      </c>
      <c r="G56" s="352" t="s">
        <v>660</v>
      </c>
      <c r="H56" s="353" t="s">
        <v>659</v>
      </c>
      <c r="I56" s="354" t="s">
        <v>660</v>
      </c>
      <c r="J56" s="355" t="s">
        <v>671</v>
      </c>
      <c r="K56" s="356" t="s">
        <v>673</v>
      </c>
      <c r="L56" s="357" t="s">
        <v>672</v>
      </c>
      <c r="M56" s="358" t="s">
        <v>673</v>
      </c>
      <c r="N56" s="359" t="s">
        <v>671</v>
      </c>
      <c r="O56" s="360" t="s">
        <v>674</v>
      </c>
      <c r="P56" s="361" t="s">
        <v>672</v>
      </c>
      <c r="Q56" s="362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48" t="b">
        <v>0</v>
      </c>
      <c r="D57" s="349" t="s">
        <v>606</v>
      </c>
      <c r="E57" s="350">
        <v>4</v>
      </c>
      <c r="F57" s="351" t="s">
        <v>659</v>
      </c>
      <c r="G57" s="352" t="s">
        <v>660</v>
      </c>
      <c r="H57" s="353" t="s">
        <v>659</v>
      </c>
      <c r="I57" s="354" t="s">
        <v>660</v>
      </c>
      <c r="J57" s="355" t="s">
        <v>671</v>
      </c>
      <c r="K57" s="356" t="s">
        <v>673</v>
      </c>
      <c r="L57" s="357" t="s">
        <v>672</v>
      </c>
      <c r="M57" s="358" t="s">
        <v>673</v>
      </c>
      <c r="N57" s="359" t="s">
        <v>671</v>
      </c>
      <c r="O57" s="360" t="s">
        <v>674</v>
      </c>
      <c r="P57" s="361" t="s">
        <v>672</v>
      </c>
      <c r="Q57" s="362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48" t="b">
        <v>0</v>
      </c>
      <c r="D58" s="349" t="s">
        <v>606</v>
      </c>
      <c r="E58" s="350">
        <v>4</v>
      </c>
      <c r="F58" s="351" t="s">
        <v>659</v>
      </c>
      <c r="G58" s="352" t="s">
        <v>660</v>
      </c>
      <c r="H58" s="353" t="s">
        <v>659</v>
      </c>
      <c r="I58" s="354" t="s">
        <v>660</v>
      </c>
      <c r="J58" s="355" t="s">
        <v>671</v>
      </c>
      <c r="K58" s="356" t="s">
        <v>673</v>
      </c>
      <c r="L58" s="357" t="s">
        <v>672</v>
      </c>
      <c r="M58" s="358" t="s">
        <v>673</v>
      </c>
      <c r="N58" s="359" t="s">
        <v>671</v>
      </c>
      <c r="O58" s="360" t="s">
        <v>674</v>
      </c>
      <c r="P58" s="361" t="s">
        <v>672</v>
      </c>
      <c r="Q58" s="362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48" t="b">
        <v>0</v>
      </c>
      <c r="D59" s="349" t="s">
        <v>606</v>
      </c>
      <c r="E59" s="350">
        <v>4</v>
      </c>
      <c r="F59" s="351" t="s">
        <v>659</v>
      </c>
      <c r="G59" s="352" t="s">
        <v>660</v>
      </c>
      <c r="H59" s="353" t="s">
        <v>659</v>
      </c>
      <c r="I59" s="354" t="s">
        <v>660</v>
      </c>
      <c r="J59" s="355" t="s">
        <v>671</v>
      </c>
      <c r="K59" s="356" t="s">
        <v>673</v>
      </c>
      <c r="L59" s="357" t="s">
        <v>672</v>
      </c>
      <c r="M59" s="358" t="s">
        <v>673</v>
      </c>
      <c r="N59" s="359" t="s">
        <v>671</v>
      </c>
      <c r="O59" s="360" t="s">
        <v>674</v>
      </c>
      <c r="P59" s="361" t="s">
        <v>672</v>
      </c>
      <c r="Q59" s="362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48" t="b">
        <v>0</v>
      </c>
      <c r="D60" s="349" t="s">
        <v>606</v>
      </c>
      <c r="E60" s="350">
        <v>4</v>
      </c>
      <c r="F60" s="351" t="s">
        <v>659</v>
      </c>
      <c r="G60" s="352" t="s">
        <v>660</v>
      </c>
      <c r="H60" s="353" t="s">
        <v>659</v>
      </c>
      <c r="I60" s="354" t="s">
        <v>660</v>
      </c>
      <c r="J60" s="355" t="s">
        <v>671</v>
      </c>
      <c r="K60" s="356" t="s">
        <v>675</v>
      </c>
      <c r="L60" s="357" t="s">
        <v>672</v>
      </c>
      <c r="M60" s="358" t="s">
        <v>675</v>
      </c>
      <c r="N60" s="359" t="s">
        <v>671</v>
      </c>
      <c r="O60" s="360" t="s">
        <v>676</v>
      </c>
      <c r="P60" s="361" t="s">
        <v>672</v>
      </c>
      <c r="Q60" s="362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48" t="b">
        <v>0</v>
      </c>
      <c r="D61" s="349" t="s">
        <v>606</v>
      </c>
      <c r="E61" s="350">
        <v>4</v>
      </c>
      <c r="F61" s="351" t="s">
        <v>659</v>
      </c>
      <c r="G61" s="352" t="s">
        <v>660</v>
      </c>
      <c r="H61" s="353" t="s">
        <v>659</v>
      </c>
      <c r="I61" s="354" t="s">
        <v>660</v>
      </c>
      <c r="J61" s="355" t="s">
        <v>671</v>
      </c>
      <c r="K61" s="356" t="s">
        <v>673</v>
      </c>
      <c r="L61" s="357" t="s">
        <v>672</v>
      </c>
      <c r="M61" s="358" t="s">
        <v>673</v>
      </c>
      <c r="N61" s="359" t="s">
        <v>671</v>
      </c>
      <c r="O61" s="360" t="s">
        <v>674</v>
      </c>
      <c r="P61" s="361" t="s">
        <v>672</v>
      </c>
      <c r="Q61" s="362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48" t="b">
        <v>0</v>
      </c>
      <c r="D62" s="349" t="s">
        <v>606</v>
      </c>
      <c r="E62" s="350">
        <v>4</v>
      </c>
      <c r="F62" s="351" t="s">
        <v>659</v>
      </c>
      <c r="G62" s="352" t="s">
        <v>660</v>
      </c>
      <c r="H62" s="353" t="s">
        <v>659</v>
      </c>
      <c r="I62" s="354" t="s">
        <v>660</v>
      </c>
      <c r="J62" s="355" t="s">
        <v>671</v>
      </c>
      <c r="K62" s="356" t="s">
        <v>673</v>
      </c>
      <c r="L62" s="357" t="s">
        <v>672</v>
      </c>
      <c r="M62" s="358" t="s">
        <v>673</v>
      </c>
      <c r="N62" s="359" t="s">
        <v>671</v>
      </c>
      <c r="O62" s="360" t="s">
        <v>674</v>
      </c>
      <c r="P62" s="361" t="s">
        <v>672</v>
      </c>
      <c r="Q62" s="362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48" t="b">
        <v>0</v>
      </c>
      <c r="D63" s="349" t="s">
        <v>606</v>
      </c>
      <c r="E63" s="350">
        <v>4</v>
      </c>
      <c r="F63" s="351" t="s">
        <v>659</v>
      </c>
      <c r="G63" s="352" t="s">
        <v>660</v>
      </c>
      <c r="H63" s="353" t="s">
        <v>659</v>
      </c>
      <c r="I63" s="354" t="s">
        <v>660</v>
      </c>
      <c r="J63" s="355" t="s">
        <v>671</v>
      </c>
      <c r="K63" s="356" t="s">
        <v>689</v>
      </c>
      <c r="L63" s="357" t="s">
        <v>672</v>
      </c>
      <c r="M63" s="358" t="s">
        <v>689</v>
      </c>
      <c r="N63" s="359" t="s">
        <v>671</v>
      </c>
      <c r="O63" s="360" t="s">
        <v>690</v>
      </c>
      <c r="P63" s="361" t="s">
        <v>672</v>
      </c>
      <c r="Q63" s="362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48" t="b">
        <v>0</v>
      </c>
      <c r="D64" s="349" t="s">
        <v>606</v>
      </c>
      <c r="E64" s="350">
        <v>4</v>
      </c>
      <c r="F64" s="351" t="s">
        <v>659</v>
      </c>
      <c r="G64" s="352" t="s">
        <v>660</v>
      </c>
      <c r="H64" s="353" t="s">
        <v>659</v>
      </c>
      <c r="I64" s="354" t="s">
        <v>660</v>
      </c>
      <c r="J64" s="355" t="s">
        <v>671</v>
      </c>
      <c r="K64" s="356" t="s">
        <v>689</v>
      </c>
      <c r="L64" s="357" t="s">
        <v>672</v>
      </c>
      <c r="M64" s="358" t="s">
        <v>689</v>
      </c>
      <c r="N64" s="359" t="s">
        <v>671</v>
      </c>
      <c r="O64" s="360" t="s">
        <v>690</v>
      </c>
      <c r="P64" s="361" t="s">
        <v>672</v>
      </c>
      <c r="Q64" s="362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48" t="b">
        <v>0</v>
      </c>
      <c r="D65" s="349" t="s">
        <v>606</v>
      </c>
      <c r="E65" s="350">
        <v>4</v>
      </c>
      <c r="F65" s="351" t="s">
        <v>659</v>
      </c>
      <c r="G65" s="352" t="s">
        <v>660</v>
      </c>
      <c r="H65" s="353" t="s">
        <v>659</v>
      </c>
      <c r="I65" s="354" t="s">
        <v>660</v>
      </c>
      <c r="J65" s="355" t="s">
        <v>671</v>
      </c>
      <c r="K65" s="356" t="s">
        <v>687</v>
      </c>
      <c r="L65" s="357" t="s">
        <v>672</v>
      </c>
      <c r="M65" s="358" t="s">
        <v>687</v>
      </c>
      <c r="N65" s="359" t="s">
        <v>671</v>
      </c>
      <c r="O65" s="360" t="s">
        <v>688</v>
      </c>
      <c r="P65" s="361" t="s">
        <v>672</v>
      </c>
      <c r="Q65" s="362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48" t="b">
        <v>0</v>
      </c>
      <c r="D66" s="349" t="s">
        <v>606</v>
      </c>
      <c r="E66" s="350">
        <v>4</v>
      </c>
      <c r="F66" s="351" t="s">
        <v>659</v>
      </c>
      <c r="G66" s="352" t="s">
        <v>660</v>
      </c>
      <c r="H66" s="353" t="s">
        <v>659</v>
      </c>
      <c r="I66" s="354" t="s">
        <v>660</v>
      </c>
      <c r="J66" s="355" t="s">
        <v>671</v>
      </c>
      <c r="K66" s="356" t="s">
        <v>675</v>
      </c>
      <c r="L66" s="357" t="s">
        <v>672</v>
      </c>
      <c r="M66" s="358" t="s">
        <v>675</v>
      </c>
      <c r="N66" s="359" t="s">
        <v>671</v>
      </c>
      <c r="O66" s="360" t="s">
        <v>676</v>
      </c>
      <c r="P66" s="361" t="s">
        <v>672</v>
      </c>
      <c r="Q66" s="362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48" t="b">
        <v>0</v>
      </c>
      <c r="D67" s="349" t="s">
        <v>606</v>
      </c>
      <c r="E67" s="350">
        <v>4</v>
      </c>
      <c r="F67" s="351" t="s">
        <v>659</v>
      </c>
      <c r="G67" s="352" t="s">
        <v>660</v>
      </c>
      <c r="H67" s="353" t="s">
        <v>659</v>
      </c>
      <c r="I67" s="354" t="s">
        <v>660</v>
      </c>
      <c r="J67" s="355" t="s">
        <v>671</v>
      </c>
      <c r="K67" s="356" t="s">
        <v>687</v>
      </c>
      <c r="L67" s="357" t="s">
        <v>672</v>
      </c>
      <c r="M67" s="358" t="s">
        <v>687</v>
      </c>
      <c r="N67" s="359" t="s">
        <v>671</v>
      </c>
      <c r="O67" s="360" t="s">
        <v>688</v>
      </c>
      <c r="P67" s="361" t="s">
        <v>672</v>
      </c>
      <c r="Q67" s="362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48" t="b">
        <v>0</v>
      </c>
      <c r="D68" s="349" t="s">
        <v>606</v>
      </c>
      <c r="E68" s="350">
        <v>4</v>
      </c>
      <c r="F68" s="351" t="s">
        <v>659</v>
      </c>
      <c r="G68" s="352" t="s">
        <v>660</v>
      </c>
      <c r="H68" s="353" t="s">
        <v>659</v>
      </c>
      <c r="I68" s="354" t="s">
        <v>660</v>
      </c>
      <c r="J68" s="355" t="s">
        <v>671</v>
      </c>
      <c r="K68" s="356" t="s">
        <v>689</v>
      </c>
      <c r="L68" s="357" t="s">
        <v>672</v>
      </c>
      <c r="M68" s="358" t="s">
        <v>689</v>
      </c>
      <c r="N68" s="359" t="s">
        <v>671</v>
      </c>
      <c r="O68" s="360" t="s">
        <v>690</v>
      </c>
      <c r="P68" s="361" t="s">
        <v>672</v>
      </c>
      <c r="Q68" s="362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48" t="b">
        <v>0</v>
      </c>
      <c r="D69" s="349" t="s">
        <v>606</v>
      </c>
      <c r="E69" s="350">
        <v>4</v>
      </c>
      <c r="F69" s="351" t="s">
        <v>659</v>
      </c>
      <c r="G69" s="352" t="s">
        <v>660</v>
      </c>
      <c r="H69" s="353" t="s">
        <v>659</v>
      </c>
      <c r="I69" s="354" t="s">
        <v>660</v>
      </c>
      <c r="J69" s="355" t="s">
        <v>671</v>
      </c>
      <c r="K69" s="356" t="s">
        <v>673</v>
      </c>
      <c r="L69" s="357" t="s">
        <v>672</v>
      </c>
      <c r="M69" s="358" t="s">
        <v>673</v>
      </c>
      <c r="N69" s="359" t="s">
        <v>671</v>
      </c>
      <c r="O69" s="360" t="s">
        <v>674</v>
      </c>
      <c r="P69" s="361" t="s">
        <v>672</v>
      </c>
      <c r="Q69" s="362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48" t="b">
        <v>0</v>
      </c>
      <c r="D70" s="349" t="s">
        <v>606</v>
      </c>
      <c r="E70" s="350">
        <v>4</v>
      </c>
      <c r="F70" s="351" t="s">
        <v>659</v>
      </c>
      <c r="G70" s="352" t="s">
        <v>660</v>
      </c>
      <c r="H70" s="353" t="s">
        <v>659</v>
      </c>
      <c r="I70" s="354" t="s">
        <v>660</v>
      </c>
      <c r="J70" s="355" t="s">
        <v>671</v>
      </c>
      <c r="K70" s="356" t="s">
        <v>673</v>
      </c>
      <c r="L70" s="357" t="s">
        <v>672</v>
      </c>
      <c r="M70" s="358" t="s">
        <v>673</v>
      </c>
      <c r="N70" s="359" t="s">
        <v>671</v>
      </c>
      <c r="O70" s="360" t="s">
        <v>674</v>
      </c>
      <c r="P70" s="361" t="s">
        <v>672</v>
      </c>
      <c r="Q70" s="362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48" t="b">
        <v>0</v>
      </c>
      <c r="D71" s="349" t="s">
        <v>606</v>
      </c>
      <c r="E71" s="350">
        <v>4</v>
      </c>
      <c r="F71" s="351" t="s">
        <v>659</v>
      </c>
      <c r="G71" s="352" t="s">
        <v>660</v>
      </c>
      <c r="H71" s="353" t="s">
        <v>659</v>
      </c>
      <c r="I71" s="354" t="s">
        <v>660</v>
      </c>
      <c r="J71" s="355" t="s">
        <v>671</v>
      </c>
      <c r="K71" s="356" t="s">
        <v>673</v>
      </c>
      <c r="L71" s="357" t="s">
        <v>672</v>
      </c>
      <c r="M71" s="358" t="s">
        <v>673</v>
      </c>
      <c r="N71" s="359" t="s">
        <v>671</v>
      </c>
      <c r="O71" s="360" t="s">
        <v>674</v>
      </c>
      <c r="P71" s="361" t="s">
        <v>672</v>
      </c>
      <c r="Q71" s="362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48" t="b">
        <v>0</v>
      </c>
      <c r="D72" s="349" t="s">
        <v>606</v>
      </c>
      <c r="E72" s="350">
        <v>4</v>
      </c>
      <c r="F72" s="351" t="s">
        <v>659</v>
      </c>
      <c r="G72" s="352" t="s">
        <v>660</v>
      </c>
      <c r="H72" s="353" t="s">
        <v>659</v>
      </c>
      <c r="I72" s="354" t="s">
        <v>660</v>
      </c>
      <c r="J72" s="355" t="s">
        <v>671</v>
      </c>
      <c r="K72" s="356" t="s">
        <v>673</v>
      </c>
      <c r="L72" s="357" t="s">
        <v>672</v>
      </c>
      <c r="M72" s="358" t="s">
        <v>673</v>
      </c>
      <c r="N72" s="359" t="s">
        <v>671</v>
      </c>
      <c r="O72" s="360" t="s">
        <v>674</v>
      </c>
      <c r="P72" s="361" t="s">
        <v>672</v>
      </c>
      <c r="Q72" s="362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48" t="b">
        <v>0</v>
      </c>
      <c r="D73" s="349" t="s">
        <v>606</v>
      </c>
      <c r="E73" s="350">
        <v>4</v>
      </c>
      <c r="F73" s="351" t="s">
        <v>659</v>
      </c>
      <c r="G73" s="352" t="s">
        <v>660</v>
      </c>
      <c r="H73" s="353" t="s">
        <v>659</v>
      </c>
      <c r="I73" s="354" t="s">
        <v>660</v>
      </c>
      <c r="J73" s="355" t="s">
        <v>671</v>
      </c>
      <c r="K73" s="356" t="s">
        <v>673</v>
      </c>
      <c r="L73" s="357" t="s">
        <v>672</v>
      </c>
      <c r="M73" s="358" t="s">
        <v>673</v>
      </c>
      <c r="N73" s="359" t="s">
        <v>671</v>
      </c>
      <c r="O73" s="360" t="s">
        <v>674</v>
      </c>
      <c r="P73" s="361" t="s">
        <v>672</v>
      </c>
      <c r="Q73" s="362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48" t="b">
        <v>0</v>
      </c>
      <c r="D74" s="349" t="s">
        <v>606</v>
      </c>
      <c r="E74" s="350">
        <v>4</v>
      </c>
      <c r="F74" s="351" t="s">
        <v>659</v>
      </c>
      <c r="G74" s="352" t="s">
        <v>660</v>
      </c>
      <c r="H74" s="353" t="s">
        <v>659</v>
      </c>
      <c r="I74" s="354" t="s">
        <v>660</v>
      </c>
      <c r="J74" s="355" t="s">
        <v>671</v>
      </c>
      <c r="K74" s="356" t="s">
        <v>673</v>
      </c>
      <c r="L74" s="357" t="s">
        <v>672</v>
      </c>
      <c r="M74" s="358" t="s">
        <v>673</v>
      </c>
      <c r="N74" s="359" t="s">
        <v>671</v>
      </c>
      <c r="O74" s="360" t="s">
        <v>674</v>
      </c>
      <c r="P74" s="361" t="s">
        <v>672</v>
      </c>
      <c r="Q74" s="362" t="s">
        <v>674</v>
      </c>
      <c r="R74" s="89" t="s">
        <v>831</v>
      </c>
    </row>
    <row r="75" spans="1:18">
      <c r="A75" s="10" t="s">
        <v>647</v>
      </c>
      <c r="B75" s="17" t="str">
        <v>LTE_BandNone</v>
      </c>
      <c r="C75" s="348" t="b">
        <v>0</v>
      </c>
      <c r="D75" s="349" t="s">
        <v>606</v>
      </c>
      <c r="E75" s="350">
        <v>2</v>
      </c>
      <c r="F75" s="351" t="s">
        <v>659</v>
      </c>
      <c r="G75" s="352" t="s">
        <v>660</v>
      </c>
      <c r="H75" s="353" t="s">
        <v>659</v>
      </c>
      <c r="I75" s="354" t="s">
        <v>660</v>
      </c>
      <c r="J75" s="355"/>
      <c r="K75" s="356"/>
      <c r="L75" s="357"/>
      <c r="M75" s="358"/>
      <c r="N75" s="359"/>
      <c r="O75" s="360"/>
      <c r="P75" s="361"/>
      <c r="Q75" s="362"/>
      <c r="R75" s="89" t="s">
        <v>832</v>
      </c>
    </row>
    <row r="76" spans="1:18">
      <c r="A76" s="10" t="s">
        <v>648</v>
      </c>
      <c r="B76" s="17" t="str">
        <v>LTE_BandNone</v>
      </c>
      <c r="C76" s="348" t="b">
        <v>0</v>
      </c>
      <c r="D76" s="349" t="s">
        <v>606</v>
      </c>
      <c r="E76" s="350">
        <v>2</v>
      </c>
      <c r="F76" s="351" t="s">
        <v>659</v>
      </c>
      <c r="G76" s="352" t="s">
        <v>660</v>
      </c>
      <c r="H76" s="353" t="s">
        <v>659</v>
      </c>
      <c r="I76" s="354" t="s">
        <v>660</v>
      </c>
      <c r="J76" s="355"/>
      <c r="K76" s="356"/>
      <c r="L76" s="357"/>
      <c r="M76" s="358"/>
      <c r="N76" s="359"/>
      <c r="O76" s="360"/>
      <c r="P76" s="361"/>
      <c r="Q76" s="362"/>
      <c r="R76" s="89" t="s">
        <v>833</v>
      </c>
    </row>
    <row r="77" spans="1:18">
      <c r="A77" s="10" t="s">
        <v>649</v>
      </c>
      <c r="B77" s="17" t="str">
        <v>LTE_BandNone</v>
      </c>
      <c r="C77" s="348" t="b">
        <v>0</v>
      </c>
      <c r="D77" s="349" t="s">
        <v>606</v>
      </c>
      <c r="E77" s="350">
        <v>2</v>
      </c>
      <c r="F77" s="351" t="s">
        <v>659</v>
      </c>
      <c r="G77" s="352" t="s">
        <v>660</v>
      </c>
      <c r="H77" s="353" t="s">
        <v>659</v>
      </c>
      <c r="I77" s="354" t="s">
        <v>660</v>
      </c>
      <c r="J77" s="355"/>
      <c r="K77" s="356"/>
      <c r="L77" s="357"/>
      <c r="M77" s="358"/>
      <c r="N77" s="359"/>
      <c r="O77" s="360"/>
      <c r="P77" s="361"/>
      <c r="Q77" s="362"/>
      <c r="R77" s="89" t="s">
        <v>834</v>
      </c>
    </row>
    <row r="78" spans="1:18">
      <c r="A78" s="10" t="s">
        <v>650</v>
      </c>
      <c r="B78" s="17" t="str">
        <v>LTE_BandNone</v>
      </c>
      <c r="C78" s="348" t="b">
        <v>0</v>
      </c>
      <c r="D78" s="349" t="s">
        <v>606</v>
      </c>
      <c r="E78" s="350">
        <v>2</v>
      </c>
      <c r="F78" s="351" t="s">
        <v>659</v>
      </c>
      <c r="G78" s="352" t="s">
        <v>660</v>
      </c>
      <c r="H78" s="353" t="s">
        <v>659</v>
      </c>
      <c r="I78" s="354" t="s">
        <v>660</v>
      </c>
      <c r="J78" s="355"/>
      <c r="K78" s="356"/>
      <c r="L78" s="357"/>
      <c r="M78" s="358"/>
      <c r="N78" s="359"/>
      <c r="O78" s="360"/>
      <c r="P78" s="361"/>
      <c r="Q78" s="362"/>
      <c r="R78" s="89" t="s">
        <v>835</v>
      </c>
    </row>
    <row r="79" spans="1:18">
      <c r="A79" s="10" t="s">
        <v>651</v>
      </c>
      <c r="B79" s="17" t="str">
        <v>LTE_BandNone</v>
      </c>
      <c r="C79" s="348" t="b">
        <v>0</v>
      </c>
      <c r="D79" s="349" t="s">
        <v>606</v>
      </c>
      <c r="E79" s="350">
        <v>2</v>
      </c>
      <c r="F79" s="351" t="s">
        <v>659</v>
      </c>
      <c r="G79" s="352" t="s">
        <v>660</v>
      </c>
      <c r="H79" s="353" t="s">
        <v>659</v>
      </c>
      <c r="I79" s="354" t="s">
        <v>660</v>
      </c>
      <c r="J79" s="355"/>
      <c r="K79" s="356"/>
      <c r="L79" s="357"/>
      <c r="M79" s="358"/>
      <c r="N79" s="359"/>
      <c r="O79" s="360"/>
      <c r="P79" s="361"/>
      <c r="Q79" s="362"/>
      <c r="R79" s="89" t="s">
        <v>836</v>
      </c>
    </row>
    <row r="80" spans="1:18">
      <c r="A80" s="10" t="s">
        <v>652</v>
      </c>
      <c r="B80" s="17" t="str">
        <v>LTE_BandNone</v>
      </c>
      <c r="C80" s="348" t="b">
        <v>0</v>
      </c>
      <c r="D80" s="349" t="s">
        <v>606</v>
      </c>
      <c r="E80" s="350">
        <v>2</v>
      </c>
      <c r="F80" s="351" t="s">
        <v>659</v>
      </c>
      <c r="G80" s="352" t="s">
        <v>660</v>
      </c>
      <c r="H80" s="353" t="s">
        <v>659</v>
      </c>
      <c r="I80" s="354" t="s">
        <v>660</v>
      </c>
      <c r="J80" s="355"/>
      <c r="K80" s="356"/>
      <c r="L80" s="357"/>
      <c r="M80" s="358"/>
      <c r="N80" s="359"/>
      <c r="O80" s="360"/>
      <c r="P80" s="361"/>
      <c r="Q80" s="362"/>
      <c r="R80" s="89" t="s">
        <v>837</v>
      </c>
    </row>
    <row r="83" spans="1:18" ht="15.75" thickBot="1"/>
    <row r="84" spans="1:18" ht="15.75" thickBot="1">
      <c r="A84" s="6" t="s">
        <v>713</v>
      </c>
      <c r="J84" s="421" t="s">
        <v>1629</v>
      </c>
      <c r="K84" s="422"/>
      <c r="L84" s="421" t="s">
        <v>1630</v>
      </c>
      <c r="M84" s="422"/>
      <c r="N84" s="421" t="s">
        <v>1631</v>
      </c>
      <c r="O84" s="423"/>
      <c r="P84" s="421" t="s">
        <v>1632</v>
      </c>
      <c r="Q84" s="422"/>
    </row>
    <row r="85" spans="1:18">
      <c r="A85" s="118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7" t="s">
        <v>718</v>
      </c>
      <c r="L85" s="2" t="s">
        <v>715</v>
      </c>
      <c r="M85" s="117" t="s">
        <v>719</v>
      </c>
      <c r="N85" s="2" t="s">
        <v>716</v>
      </c>
      <c r="O85" s="117" t="s">
        <v>720</v>
      </c>
      <c r="P85" s="2" t="s">
        <v>753</v>
      </c>
      <c r="Q85" s="117" t="s">
        <v>717</v>
      </c>
      <c r="R85" s="3" t="s">
        <v>838</v>
      </c>
    </row>
    <row r="86" spans="1:18">
      <c r="A86" s="10" t="s">
        <v>721</v>
      </c>
      <c r="B86" s="363" t="s">
        <v>92</v>
      </c>
      <c r="C86" s="364" t="b">
        <v>0</v>
      </c>
      <c r="D86" s="365" t="s">
        <v>606</v>
      </c>
      <c r="E86" s="366">
        <v>4</v>
      </c>
      <c r="F86" s="367" t="s">
        <v>659</v>
      </c>
      <c r="G86" s="368" t="s">
        <v>660</v>
      </c>
      <c r="H86" s="369" t="s">
        <v>659</v>
      </c>
      <c r="I86" s="370" t="s">
        <v>660</v>
      </c>
      <c r="J86" s="371" t="s">
        <v>671</v>
      </c>
      <c r="K86" s="372" t="s">
        <v>675</v>
      </c>
      <c r="L86" s="373" t="s">
        <v>672</v>
      </c>
      <c r="M86" s="374" t="s">
        <v>675</v>
      </c>
      <c r="N86" s="375" t="s">
        <v>671</v>
      </c>
      <c r="O86" s="376" t="s">
        <v>676</v>
      </c>
      <c r="P86" s="377" t="s">
        <v>672</v>
      </c>
      <c r="Q86" s="378" t="s">
        <v>676</v>
      </c>
      <c r="R86" s="89" t="s">
        <v>839</v>
      </c>
    </row>
    <row r="87" spans="1:18">
      <c r="A87" s="10" t="s">
        <v>722</v>
      </c>
      <c r="B87" s="363" t="s">
        <v>27</v>
      </c>
      <c r="C87" s="364" t="b">
        <v>0</v>
      </c>
      <c r="D87" s="365" t="s">
        <v>607</v>
      </c>
      <c r="E87" s="366">
        <v>2</v>
      </c>
      <c r="F87" s="367" t="s">
        <v>659</v>
      </c>
      <c r="G87" s="368" t="s">
        <v>660</v>
      </c>
      <c r="H87" s="369" t="s">
        <v>659</v>
      </c>
      <c r="I87" s="370" t="s">
        <v>660</v>
      </c>
      <c r="J87" s="371"/>
      <c r="K87" s="372"/>
      <c r="L87" s="373"/>
      <c r="M87" s="374"/>
      <c r="N87" s="375"/>
      <c r="O87" s="376"/>
      <c r="P87" s="377"/>
      <c r="Q87" s="378"/>
      <c r="R87" s="89" t="s">
        <v>840</v>
      </c>
    </row>
    <row r="88" spans="1:18">
      <c r="A88" s="10" t="s">
        <v>723</v>
      </c>
      <c r="B88" s="363" t="s">
        <v>15</v>
      </c>
      <c r="C88" s="364" t="b">
        <v>0</v>
      </c>
      <c r="D88" s="365" t="s">
        <v>606</v>
      </c>
      <c r="E88" s="366">
        <v>2</v>
      </c>
      <c r="F88" s="367" t="s">
        <v>659</v>
      </c>
      <c r="G88" s="368" t="s">
        <v>660</v>
      </c>
      <c r="H88" s="369" t="s">
        <v>659</v>
      </c>
      <c r="I88" s="370" t="s">
        <v>660</v>
      </c>
      <c r="J88" s="371"/>
      <c r="K88" s="372"/>
      <c r="L88" s="373"/>
      <c r="M88" s="374"/>
      <c r="N88" s="375"/>
      <c r="O88" s="376"/>
      <c r="P88" s="377"/>
      <c r="Q88" s="378"/>
      <c r="R88" s="89" t="s">
        <v>841</v>
      </c>
    </row>
    <row r="89" spans="1:18">
      <c r="A89" s="10" t="s">
        <v>724</v>
      </c>
      <c r="B89" s="363" t="s">
        <v>15</v>
      </c>
      <c r="C89" s="364" t="b">
        <v>0</v>
      </c>
      <c r="D89" s="365" t="s">
        <v>606</v>
      </c>
      <c r="E89" s="366">
        <v>2</v>
      </c>
      <c r="F89" s="367" t="s">
        <v>659</v>
      </c>
      <c r="G89" s="368" t="s">
        <v>660</v>
      </c>
      <c r="H89" s="369" t="s">
        <v>659</v>
      </c>
      <c r="I89" s="370" t="s">
        <v>660</v>
      </c>
      <c r="J89" s="371"/>
      <c r="K89" s="372"/>
      <c r="L89" s="373"/>
      <c r="M89" s="374"/>
      <c r="N89" s="375"/>
      <c r="O89" s="376"/>
      <c r="P89" s="377"/>
      <c r="Q89" s="378"/>
      <c r="R89" s="89" t="s">
        <v>842</v>
      </c>
    </row>
    <row r="90" spans="1:18">
      <c r="A90" s="10" t="s">
        <v>725</v>
      </c>
      <c r="B90" s="363" t="s">
        <v>15</v>
      </c>
      <c r="C90" s="364" t="b">
        <v>0</v>
      </c>
      <c r="D90" s="365" t="s">
        <v>606</v>
      </c>
      <c r="E90" s="366">
        <v>2</v>
      </c>
      <c r="F90" s="367" t="s">
        <v>659</v>
      </c>
      <c r="G90" s="368" t="s">
        <v>660</v>
      </c>
      <c r="H90" s="369" t="s">
        <v>659</v>
      </c>
      <c r="I90" s="370" t="s">
        <v>660</v>
      </c>
      <c r="J90" s="371"/>
      <c r="K90" s="372"/>
      <c r="L90" s="373"/>
      <c r="M90" s="374"/>
      <c r="N90" s="375"/>
      <c r="O90" s="376"/>
      <c r="P90" s="377"/>
      <c r="Q90" s="378"/>
      <c r="R90" s="89" t="s">
        <v>843</v>
      </c>
    </row>
    <row r="91" spans="1:18">
      <c r="A91" s="10" t="s">
        <v>726</v>
      </c>
      <c r="B91" s="363" t="s">
        <v>15</v>
      </c>
      <c r="C91" s="364" t="b">
        <v>0</v>
      </c>
      <c r="D91" s="365" t="s">
        <v>606</v>
      </c>
      <c r="E91" s="366">
        <v>2</v>
      </c>
      <c r="F91" s="367" t="s">
        <v>659</v>
      </c>
      <c r="G91" s="368" t="s">
        <v>660</v>
      </c>
      <c r="H91" s="369" t="s">
        <v>659</v>
      </c>
      <c r="I91" s="370" t="s">
        <v>660</v>
      </c>
      <c r="J91" s="371"/>
      <c r="K91" s="372"/>
      <c r="L91" s="373"/>
      <c r="M91" s="374"/>
      <c r="N91" s="375"/>
      <c r="O91" s="376"/>
      <c r="P91" s="377"/>
      <c r="Q91" s="378"/>
      <c r="R91" s="89" t="s">
        <v>844</v>
      </c>
    </row>
    <row r="92" spans="1:18">
      <c r="A92" s="10" t="s">
        <v>727</v>
      </c>
      <c r="B92" s="363" t="s">
        <v>15</v>
      </c>
      <c r="C92" s="364" t="b">
        <v>0</v>
      </c>
      <c r="D92" s="365" t="s">
        <v>606</v>
      </c>
      <c r="E92" s="366">
        <v>2</v>
      </c>
      <c r="F92" s="367" t="s">
        <v>659</v>
      </c>
      <c r="G92" s="368" t="s">
        <v>660</v>
      </c>
      <c r="H92" s="369" t="s">
        <v>659</v>
      </c>
      <c r="I92" s="370" t="s">
        <v>660</v>
      </c>
      <c r="J92" s="371"/>
      <c r="K92" s="372"/>
      <c r="L92" s="373"/>
      <c r="M92" s="374"/>
      <c r="N92" s="375"/>
      <c r="O92" s="376"/>
      <c r="P92" s="377"/>
      <c r="Q92" s="378"/>
      <c r="R92" s="89" t="s">
        <v>845</v>
      </c>
    </row>
    <row r="93" spans="1:18">
      <c r="A93" s="10" t="s">
        <v>728</v>
      </c>
      <c r="B93" s="363" t="s">
        <v>15</v>
      </c>
      <c r="C93" s="364" t="b">
        <v>0</v>
      </c>
      <c r="D93" s="365" t="s">
        <v>606</v>
      </c>
      <c r="E93" s="366">
        <v>2</v>
      </c>
      <c r="F93" s="367" t="s">
        <v>659</v>
      </c>
      <c r="G93" s="368" t="s">
        <v>660</v>
      </c>
      <c r="H93" s="369" t="s">
        <v>659</v>
      </c>
      <c r="I93" s="370" t="s">
        <v>660</v>
      </c>
      <c r="J93" s="371"/>
      <c r="K93" s="372"/>
      <c r="L93" s="373"/>
      <c r="M93" s="374"/>
      <c r="N93" s="375"/>
      <c r="O93" s="376"/>
      <c r="P93" s="377"/>
      <c r="Q93" s="378"/>
      <c r="R93" s="89" t="s">
        <v>846</v>
      </c>
    </row>
    <row r="94" spans="1:18">
      <c r="A94" s="10" t="s">
        <v>729</v>
      </c>
      <c r="B94" s="363" t="s">
        <v>15</v>
      </c>
      <c r="C94" s="364" t="b">
        <v>0</v>
      </c>
      <c r="D94" s="365" t="s">
        <v>606</v>
      </c>
      <c r="E94" s="366">
        <v>2</v>
      </c>
      <c r="F94" s="367" t="s">
        <v>659</v>
      </c>
      <c r="G94" s="368" t="s">
        <v>660</v>
      </c>
      <c r="H94" s="369" t="s">
        <v>659</v>
      </c>
      <c r="I94" s="370" t="s">
        <v>660</v>
      </c>
      <c r="J94" s="371"/>
      <c r="K94" s="372"/>
      <c r="L94" s="373"/>
      <c r="M94" s="374"/>
      <c r="N94" s="375"/>
      <c r="O94" s="376"/>
      <c r="P94" s="377"/>
      <c r="Q94" s="378"/>
      <c r="R94" s="89" t="s">
        <v>847</v>
      </c>
    </row>
    <row r="95" spans="1:18">
      <c r="A95" s="10" t="s">
        <v>730</v>
      </c>
      <c r="B95" s="363" t="s">
        <v>15</v>
      </c>
      <c r="C95" s="364" t="b">
        <v>0</v>
      </c>
      <c r="D95" s="365" t="s">
        <v>606</v>
      </c>
      <c r="E95" s="366">
        <v>2</v>
      </c>
      <c r="F95" s="367" t="s">
        <v>659</v>
      </c>
      <c r="G95" s="368" t="s">
        <v>660</v>
      </c>
      <c r="H95" s="369" t="s">
        <v>659</v>
      </c>
      <c r="I95" s="370" t="s">
        <v>660</v>
      </c>
      <c r="J95" s="371"/>
      <c r="K95" s="372"/>
      <c r="L95" s="373"/>
      <c r="M95" s="374"/>
      <c r="N95" s="375"/>
      <c r="O95" s="376"/>
      <c r="P95" s="377"/>
      <c r="Q95" s="378"/>
      <c r="R95" s="89" t="s">
        <v>848</v>
      </c>
    </row>
    <row r="96" spans="1:18">
      <c r="A96" s="10" t="s">
        <v>731</v>
      </c>
      <c r="B96" s="363" t="s">
        <v>15</v>
      </c>
      <c r="C96" s="364" t="b">
        <v>0</v>
      </c>
      <c r="D96" s="365" t="s">
        <v>606</v>
      </c>
      <c r="E96" s="366">
        <v>2</v>
      </c>
      <c r="F96" s="367" t="s">
        <v>659</v>
      </c>
      <c r="G96" s="368" t="s">
        <v>660</v>
      </c>
      <c r="H96" s="369" t="s">
        <v>659</v>
      </c>
      <c r="I96" s="370" t="s">
        <v>660</v>
      </c>
      <c r="J96" s="371"/>
      <c r="K96" s="372"/>
      <c r="L96" s="373"/>
      <c r="M96" s="374"/>
      <c r="N96" s="375"/>
      <c r="O96" s="376"/>
      <c r="P96" s="377"/>
      <c r="Q96" s="378"/>
      <c r="R96" s="89" t="s">
        <v>849</v>
      </c>
    </row>
    <row r="97" spans="1:18">
      <c r="A97" s="10" t="s">
        <v>732</v>
      </c>
      <c r="B97" s="363" t="s">
        <v>15</v>
      </c>
      <c r="C97" s="364" t="b">
        <v>0</v>
      </c>
      <c r="D97" s="365" t="s">
        <v>606</v>
      </c>
      <c r="E97" s="366">
        <v>2</v>
      </c>
      <c r="F97" s="367" t="s">
        <v>659</v>
      </c>
      <c r="G97" s="368" t="s">
        <v>660</v>
      </c>
      <c r="H97" s="369" t="s">
        <v>659</v>
      </c>
      <c r="I97" s="370" t="s">
        <v>660</v>
      </c>
      <c r="J97" s="371"/>
      <c r="K97" s="372"/>
      <c r="L97" s="373"/>
      <c r="M97" s="374"/>
      <c r="N97" s="375"/>
      <c r="O97" s="376"/>
      <c r="P97" s="377"/>
      <c r="Q97" s="378"/>
      <c r="R97" s="89" t="s">
        <v>850</v>
      </c>
    </row>
    <row r="98" spans="1:18">
      <c r="A98" s="10" t="s">
        <v>733</v>
      </c>
      <c r="B98" s="363" t="s">
        <v>15</v>
      </c>
      <c r="C98" s="364" t="b">
        <v>0</v>
      </c>
      <c r="D98" s="365" t="s">
        <v>606</v>
      </c>
      <c r="E98" s="366">
        <v>2</v>
      </c>
      <c r="F98" s="367" t="s">
        <v>659</v>
      </c>
      <c r="G98" s="368" t="s">
        <v>660</v>
      </c>
      <c r="H98" s="369" t="s">
        <v>659</v>
      </c>
      <c r="I98" s="370" t="s">
        <v>660</v>
      </c>
      <c r="J98" s="371"/>
      <c r="K98" s="372"/>
      <c r="L98" s="373"/>
      <c r="M98" s="374"/>
      <c r="N98" s="375"/>
      <c r="O98" s="376"/>
      <c r="P98" s="377"/>
      <c r="Q98" s="378"/>
      <c r="R98" s="89" t="s">
        <v>851</v>
      </c>
    </row>
    <row r="99" spans="1:18">
      <c r="A99" s="10" t="s">
        <v>734</v>
      </c>
      <c r="B99" s="363" t="s">
        <v>15</v>
      </c>
      <c r="C99" s="364" t="b">
        <v>0</v>
      </c>
      <c r="D99" s="365" t="s">
        <v>606</v>
      </c>
      <c r="E99" s="366">
        <v>2</v>
      </c>
      <c r="F99" s="367" t="s">
        <v>659</v>
      </c>
      <c r="G99" s="368" t="s">
        <v>660</v>
      </c>
      <c r="H99" s="369" t="s">
        <v>659</v>
      </c>
      <c r="I99" s="370" t="s">
        <v>660</v>
      </c>
      <c r="J99" s="371"/>
      <c r="K99" s="372"/>
      <c r="L99" s="373"/>
      <c r="M99" s="374"/>
      <c r="N99" s="375"/>
      <c r="O99" s="376"/>
      <c r="P99" s="377"/>
      <c r="Q99" s="378"/>
      <c r="R99" s="89" t="s">
        <v>852</v>
      </c>
    </row>
    <row r="100" spans="1:18">
      <c r="A100" s="10" t="s">
        <v>735</v>
      </c>
      <c r="B100" s="363" t="s">
        <v>15</v>
      </c>
      <c r="C100" s="364" t="b">
        <v>0</v>
      </c>
      <c r="D100" s="365" t="s">
        <v>606</v>
      </c>
      <c r="E100" s="366">
        <v>2</v>
      </c>
      <c r="F100" s="367" t="s">
        <v>659</v>
      </c>
      <c r="G100" s="368" t="s">
        <v>660</v>
      </c>
      <c r="H100" s="369" t="s">
        <v>659</v>
      </c>
      <c r="I100" s="370" t="s">
        <v>660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853</v>
      </c>
    </row>
    <row r="104" spans="1:18" ht="15.75" thickBot="1"/>
    <row r="105" spans="1:18">
      <c r="A105" s="95" t="s">
        <v>736</v>
      </c>
      <c r="K105" s="421" t="s">
        <v>1629</v>
      </c>
      <c r="L105" s="422"/>
      <c r="M105" s="421" t="s">
        <v>1630</v>
      </c>
      <c r="N105" s="422"/>
      <c r="O105" s="421" t="s">
        <v>1631</v>
      </c>
      <c r="P105" s="423"/>
      <c r="Q105" s="421" t="s">
        <v>1632</v>
      </c>
      <c r="R105" s="422"/>
    </row>
    <row r="106" spans="1:18" ht="30">
      <c r="A106" s="119" t="s">
        <v>747</v>
      </c>
      <c r="B106" s="120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20" t="s">
        <v>748</v>
      </c>
      <c r="B107" s="419"/>
      <c r="C107" s="419"/>
      <c r="D107" s="419"/>
      <c r="E107" s="419"/>
      <c r="F107" s="419"/>
      <c r="G107" s="419"/>
      <c r="H107" s="419"/>
      <c r="I107" s="128" t="s">
        <v>855</v>
      </c>
      <c r="J107" s="379"/>
      <c r="K107" s="380"/>
      <c r="L107" s="381"/>
      <c r="M107" s="382"/>
      <c r="N107" s="383"/>
      <c r="O107" s="384"/>
      <c r="P107" s="385"/>
      <c r="Q107" s="386"/>
      <c r="R107" s="387"/>
    </row>
    <row r="108" spans="1:18">
      <c r="A108" s="420"/>
      <c r="B108" s="419"/>
      <c r="C108" s="419"/>
      <c r="D108" s="419"/>
      <c r="E108" s="419"/>
      <c r="F108" s="419"/>
      <c r="G108" s="419"/>
      <c r="H108" s="419"/>
      <c r="I108" s="128" t="s">
        <v>856</v>
      </c>
      <c r="J108" s="379"/>
      <c r="K108" s="380"/>
      <c r="L108" s="381"/>
      <c r="M108" s="382"/>
      <c r="N108" s="383"/>
      <c r="O108" s="384"/>
      <c r="P108" s="385"/>
      <c r="Q108" s="386"/>
      <c r="R108" s="387"/>
    </row>
    <row r="109" spans="1:18">
      <c r="A109" s="420"/>
      <c r="B109" s="419"/>
      <c r="C109" s="419"/>
      <c r="D109" s="419"/>
      <c r="E109" s="419"/>
      <c r="F109" s="419"/>
      <c r="G109" s="419"/>
      <c r="H109" s="419"/>
      <c r="I109" s="128" t="s">
        <v>857</v>
      </c>
      <c r="J109" s="379"/>
      <c r="K109" s="380"/>
      <c r="L109" s="381"/>
      <c r="M109" s="382"/>
      <c r="N109" s="383"/>
      <c r="O109" s="384"/>
      <c r="P109" s="385"/>
      <c r="Q109" s="386"/>
      <c r="R109" s="387"/>
    </row>
    <row r="110" spans="1:18">
      <c r="A110" s="420"/>
      <c r="B110" s="419"/>
      <c r="C110" s="419"/>
      <c r="D110" s="419"/>
      <c r="E110" s="419"/>
      <c r="F110" s="419"/>
      <c r="G110" s="419"/>
      <c r="H110" s="419"/>
      <c r="I110" s="128" t="s">
        <v>858</v>
      </c>
      <c r="J110" s="379"/>
      <c r="K110" s="380"/>
      <c r="L110" s="381"/>
      <c r="M110" s="382"/>
      <c r="N110" s="383"/>
      <c r="O110" s="384"/>
      <c r="P110" s="385"/>
      <c r="Q110" s="386"/>
      <c r="R110" s="387"/>
    </row>
    <row r="111" spans="1:18">
      <c r="A111" s="420" t="s">
        <v>738</v>
      </c>
      <c r="B111" s="419"/>
      <c r="C111" s="419"/>
      <c r="D111" s="419"/>
      <c r="E111" s="419"/>
      <c r="F111" s="419"/>
      <c r="G111" s="419"/>
      <c r="H111" s="419"/>
      <c r="I111" s="128" t="s">
        <v>855</v>
      </c>
      <c r="J111" s="379"/>
      <c r="K111" s="380"/>
      <c r="L111" s="381"/>
      <c r="M111" s="382"/>
      <c r="N111" s="383"/>
      <c r="O111" s="384"/>
      <c r="P111" s="385"/>
      <c r="Q111" s="386"/>
      <c r="R111" s="387"/>
    </row>
    <row r="112" spans="1:18">
      <c r="A112" s="420"/>
      <c r="B112" s="419"/>
      <c r="C112" s="419"/>
      <c r="D112" s="419"/>
      <c r="E112" s="419"/>
      <c r="F112" s="419"/>
      <c r="G112" s="419"/>
      <c r="H112" s="419"/>
      <c r="I112" s="128" t="s">
        <v>856</v>
      </c>
      <c r="J112" s="379"/>
      <c r="K112" s="380"/>
      <c r="L112" s="381"/>
      <c r="M112" s="382"/>
      <c r="N112" s="383"/>
      <c r="O112" s="384"/>
      <c r="P112" s="385"/>
      <c r="Q112" s="386"/>
      <c r="R112" s="387"/>
    </row>
    <row r="113" spans="1:18">
      <c r="A113" s="420"/>
      <c r="B113" s="419"/>
      <c r="C113" s="419"/>
      <c r="D113" s="419"/>
      <c r="E113" s="419"/>
      <c r="F113" s="419"/>
      <c r="G113" s="419"/>
      <c r="H113" s="419"/>
      <c r="I113" s="128" t="s">
        <v>857</v>
      </c>
      <c r="J113" s="379"/>
      <c r="K113" s="380"/>
      <c r="L113" s="381"/>
      <c r="M113" s="382"/>
      <c r="N113" s="383"/>
      <c r="O113" s="384"/>
      <c r="P113" s="385"/>
      <c r="Q113" s="386"/>
      <c r="R113" s="387"/>
    </row>
    <row r="114" spans="1:18">
      <c r="A114" s="420"/>
      <c r="B114" s="419"/>
      <c r="C114" s="419"/>
      <c r="D114" s="419"/>
      <c r="E114" s="419"/>
      <c r="F114" s="419"/>
      <c r="G114" s="419"/>
      <c r="H114" s="419"/>
      <c r="I114" s="128" t="s">
        <v>858</v>
      </c>
      <c r="J114" s="379"/>
      <c r="K114" s="380"/>
      <c r="L114" s="381"/>
      <c r="M114" s="382"/>
      <c r="N114" s="383"/>
      <c r="O114" s="384"/>
      <c r="P114" s="385"/>
      <c r="Q114" s="386"/>
      <c r="R114" s="387"/>
    </row>
    <row r="115" spans="1:18">
      <c r="A115" s="420" t="s">
        <v>739</v>
      </c>
      <c r="B115" s="419"/>
      <c r="C115" s="419"/>
      <c r="D115" s="419"/>
      <c r="E115" s="419"/>
      <c r="F115" s="419"/>
      <c r="G115" s="419"/>
      <c r="H115" s="419"/>
      <c r="I115" s="128" t="s">
        <v>855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20"/>
      <c r="B116" s="419"/>
      <c r="C116" s="419"/>
      <c r="D116" s="419"/>
      <c r="E116" s="419"/>
      <c r="F116" s="419"/>
      <c r="G116" s="419"/>
      <c r="H116" s="419"/>
      <c r="I116" s="128" t="s">
        <v>856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20"/>
      <c r="B117" s="419"/>
      <c r="C117" s="419"/>
      <c r="D117" s="419"/>
      <c r="E117" s="419"/>
      <c r="F117" s="419"/>
      <c r="G117" s="419"/>
      <c r="H117" s="419"/>
      <c r="I117" s="128" t="s">
        <v>857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20"/>
      <c r="B118" s="419"/>
      <c r="C118" s="419"/>
      <c r="D118" s="419"/>
      <c r="E118" s="419"/>
      <c r="F118" s="419"/>
      <c r="G118" s="419"/>
      <c r="H118" s="419"/>
      <c r="I118" s="128" t="s">
        <v>858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20" t="s">
        <v>740</v>
      </c>
      <c r="B119" s="419"/>
      <c r="C119" s="419"/>
      <c r="D119" s="419"/>
      <c r="E119" s="419"/>
      <c r="F119" s="419"/>
      <c r="G119" s="419"/>
      <c r="H119" s="419"/>
      <c r="I119" s="128" t="s">
        <v>855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20"/>
      <c r="B120" s="419"/>
      <c r="C120" s="419"/>
      <c r="D120" s="419"/>
      <c r="E120" s="419"/>
      <c r="F120" s="419"/>
      <c r="G120" s="419"/>
      <c r="H120" s="419"/>
      <c r="I120" s="128" t="s">
        <v>856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20"/>
      <c r="B121" s="419"/>
      <c r="C121" s="419"/>
      <c r="D121" s="419"/>
      <c r="E121" s="419"/>
      <c r="F121" s="419"/>
      <c r="G121" s="419"/>
      <c r="H121" s="419"/>
      <c r="I121" s="128" t="s">
        <v>857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20"/>
      <c r="B122" s="419"/>
      <c r="C122" s="419"/>
      <c r="D122" s="419"/>
      <c r="E122" s="419"/>
      <c r="F122" s="419"/>
      <c r="G122" s="419"/>
      <c r="H122" s="419"/>
      <c r="I122" s="128" t="s">
        <v>858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20" t="s">
        <v>741</v>
      </c>
      <c r="B123" s="419"/>
      <c r="C123" s="419"/>
      <c r="D123" s="419"/>
      <c r="E123" s="419"/>
      <c r="F123" s="419"/>
      <c r="G123" s="419"/>
      <c r="H123" s="419"/>
      <c r="I123" s="128" t="s">
        <v>855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20"/>
      <c r="B124" s="419"/>
      <c r="C124" s="419"/>
      <c r="D124" s="419"/>
      <c r="E124" s="419"/>
      <c r="F124" s="419"/>
      <c r="G124" s="419"/>
      <c r="H124" s="419"/>
      <c r="I124" s="128" t="s">
        <v>856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20"/>
      <c r="B125" s="419"/>
      <c r="C125" s="419"/>
      <c r="D125" s="419"/>
      <c r="E125" s="419"/>
      <c r="F125" s="419"/>
      <c r="G125" s="419"/>
      <c r="H125" s="419"/>
      <c r="I125" s="128" t="s">
        <v>857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20"/>
      <c r="B126" s="419"/>
      <c r="C126" s="419"/>
      <c r="D126" s="419"/>
      <c r="E126" s="419"/>
      <c r="F126" s="419"/>
      <c r="G126" s="419"/>
      <c r="H126" s="419"/>
      <c r="I126" s="128" t="s">
        <v>858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20" t="s">
        <v>742</v>
      </c>
      <c r="B127" s="419"/>
      <c r="C127" s="419"/>
      <c r="D127" s="419"/>
      <c r="E127" s="419"/>
      <c r="F127" s="419"/>
      <c r="G127" s="419"/>
      <c r="H127" s="419"/>
      <c r="I127" s="128" t="s">
        <v>855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20"/>
      <c r="B128" s="419"/>
      <c r="C128" s="419"/>
      <c r="D128" s="419"/>
      <c r="E128" s="419"/>
      <c r="F128" s="419"/>
      <c r="G128" s="419"/>
      <c r="H128" s="419"/>
      <c r="I128" s="128" t="s">
        <v>856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20"/>
      <c r="B129" s="419"/>
      <c r="C129" s="419"/>
      <c r="D129" s="419"/>
      <c r="E129" s="419"/>
      <c r="F129" s="419"/>
      <c r="G129" s="419"/>
      <c r="H129" s="419"/>
      <c r="I129" s="128" t="s">
        <v>857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20"/>
      <c r="B130" s="419"/>
      <c r="C130" s="419"/>
      <c r="D130" s="419"/>
      <c r="E130" s="419"/>
      <c r="F130" s="419"/>
      <c r="G130" s="419"/>
      <c r="H130" s="419"/>
      <c r="I130" s="128" t="s">
        <v>858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20" t="s">
        <v>743</v>
      </c>
      <c r="B131" s="419"/>
      <c r="C131" s="419"/>
      <c r="D131" s="419"/>
      <c r="E131" s="419"/>
      <c r="F131" s="419"/>
      <c r="G131" s="419"/>
      <c r="H131" s="419"/>
      <c r="I131" s="128" t="s">
        <v>855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20"/>
      <c r="B132" s="419"/>
      <c r="C132" s="419"/>
      <c r="D132" s="419"/>
      <c r="E132" s="419"/>
      <c r="F132" s="419"/>
      <c r="G132" s="419"/>
      <c r="H132" s="419"/>
      <c r="I132" s="128" t="s">
        <v>856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20"/>
      <c r="B133" s="419"/>
      <c r="C133" s="419"/>
      <c r="D133" s="419"/>
      <c r="E133" s="419"/>
      <c r="F133" s="419"/>
      <c r="G133" s="419"/>
      <c r="H133" s="419"/>
      <c r="I133" s="128" t="s">
        <v>857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20"/>
      <c r="B134" s="419"/>
      <c r="C134" s="419"/>
      <c r="D134" s="419"/>
      <c r="E134" s="419"/>
      <c r="F134" s="419"/>
      <c r="G134" s="419"/>
      <c r="H134" s="419"/>
      <c r="I134" s="128" t="s">
        <v>858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20" t="s">
        <v>744</v>
      </c>
      <c r="B135" s="419"/>
      <c r="C135" s="419"/>
      <c r="D135" s="419"/>
      <c r="E135" s="419"/>
      <c r="F135" s="419"/>
      <c r="G135" s="419"/>
      <c r="H135" s="419"/>
      <c r="I135" s="128" t="s">
        <v>855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20"/>
      <c r="B136" s="419"/>
      <c r="C136" s="419"/>
      <c r="D136" s="419"/>
      <c r="E136" s="419"/>
      <c r="F136" s="419"/>
      <c r="G136" s="419"/>
      <c r="H136" s="419"/>
      <c r="I136" s="128" t="s">
        <v>856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20"/>
      <c r="B137" s="419"/>
      <c r="C137" s="419"/>
      <c r="D137" s="419"/>
      <c r="E137" s="419"/>
      <c r="F137" s="419"/>
      <c r="G137" s="419"/>
      <c r="H137" s="419"/>
      <c r="I137" s="128" t="s">
        <v>857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20"/>
      <c r="B138" s="419"/>
      <c r="C138" s="419"/>
      <c r="D138" s="419"/>
      <c r="E138" s="419"/>
      <c r="F138" s="419"/>
      <c r="G138" s="419"/>
      <c r="H138" s="419"/>
      <c r="I138" s="128" t="s">
        <v>858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20" t="s">
        <v>745</v>
      </c>
      <c r="B139" s="419"/>
      <c r="C139" s="419"/>
      <c r="D139" s="419"/>
      <c r="E139" s="419"/>
      <c r="F139" s="419"/>
      <c r="G139" s="419"/>
      <c r="H139" s="419"/>
      <c r="I139" s="128" t="s">
        <v>855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20"/>
      <c r="B140" s="419"/>
      <c r="C140" s="419"/>
      <c r="D140" s="419"/>
      <c r="E140" s="419"/>
      <c r="F140" s="419"/>
      <c r="G140" s="419"/>
      <c r="H140" s="419"/>
      <c r="I140" s="128" t="s">
        <v>856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20"/>
      <c r="B141" s="419"/>
      <c r="C141" s="419"/>
      <c r="D141" s="419"/>
      <c r="E141" s="419"/>
      <c r="F141" s="419"/>
      <c r="G141" s="419"/>
      <c r="H141" s="419"/>
      <c r="I141" s="128" t="s">
        <v>857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20"/>
      <c r="B142" s="419"/>
      <c r="C142" s="419"/>
      <c r="D142" s="419"/>
      <c r="E142" s="419"/>
      <c r="F142" s="419"/>
      <c r="G142" s="419"/>
      <c r="H142" s="419"/>
      <c r="I142" s="128" t="s">
        <v>858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20" t="s">
        <v>746</v>
      </c>
      <c r="B143" s="419"/>
      <c r="C143" s="419"/>
      <c r="D143" s="419"/>
      <c r="E143" s="419"/>
      <c r="F143" s="419"/>
      <c r="G143" s="419"/>
      <c r="H143" s="419"/>
      <c r="I143" s="128" t="s">
        <v>855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20"/>
      <c r="B144" s="419"/>
      <c r="C144" s="419"/>
      <c r="D144" s="419"/>
      <c r="E144" s="419"/>
      <c r="F144" s="419"/>
      <c r="G144" s="419"/>
      <c r="H144" s="419"/>
      <c r="I144" s="128" t="s">
        <v>856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20"/>
      <c r="B145" s="419"/>
      <c r="C145" s="419"/>
      <c r="D145" s="419"/>
      <c r="E145" s="419"/>
      <c r="F145" s="419"/>
      <c r="G145" s="419"/>
      <c r="H145" s="419"/>
      <c r="I145" s="128" t="s">
        <v>857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20"/>
      <c r="B146" s="419"/>
      <c r="C146" s="419"/>
      <c r="D146" s="419"/>
      <c r="E146" s="419"/>
      <c r="F146" s="419"/>
      <c r="G146" s="419"/>
      <c r="H146" s="419"/>
      <c r="I146" s="128" t="s">
        <v>858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749</v>
      </c>
    </row>
  </sheetData>
  <sheetProtection algorithmName="SHA-512" hashValue="6YHxgIpyEkf4VRY73ojefMQYwmlJEQf2Q1rNr8ObhlsvKaic4ANu9bZThRer1G9iERAwpZGpLv7wfCqh1LC2lg==" saltValue="l29mCqr6Qy7EewqgU69eaQ==" spinCount="100000" sheet="1" objects="1" scenarios="1"/>
  <mergeCells count="92"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E119:E122"/>
    <mergeCell ref="E115:E118"/>
    <mergeCell ref="F115:F118"/>
    <mergeCell ref="F119:F122"/>
    <mergeCell ref="H115:H118"/>
    <mergeCell ref="H119:H122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B143:B146"/>
    <mergeCell ref="B139:B142"/>
    <mergeCell ref="B135:B138"/>
    <mergeCell ref="B131:B134"/>
    <mergeCell ref="B127:B130"/>
    <mergeCell ref="C143:C146"/>
    <mergeCell ref="C139:C142"/>
    <mergeCell ref="C135:C138"/>
    <mergeCell ref="C131:C134"/>
    <mergeCell ref="C127:C130"/>
    <mergeCell ref="D143:D146"/>
    <mergeCell ref="D139:D142"/>
    <mergeCell ref="D135:D138"/>
    <mergeCell ref="D131:D134"/>
    <mergeCell ref="D127:D130"/>
    <mergeCell ref="F127:F130"/>
    <mergeCell ref="E143:E146"/>
    <mergeCell ref="E139:E142"/>
    <mergeCell ref="E135:E138"/>
    <mergeCell ref="E131:E134"/>
    <mergeCell ref="E127:E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H107:H110"/>
    <mergeCell ref="H111:H114"/>
    <mergeCell ref="H139:H142"/>
    <mergeCell ref="H143:H146"/>
    <mergeCell ref="H131:H134"/>
    <mergeCell ref="H135:H138"/>
    <mergeCell ref="H123:H126"/>
    <mergeCell ref="H127:H130"/>
  </mergeCells>
  <phoneticPr fontId="12" type="noConversion"/>
  <conditionalFormatting sqref="E56:Q80">
    <cfRule type="expression" dxfId="258" priority="13">
      <formula>$D56="SPLIT"</formula>
    </cfRule>
  </conditionalFormatting>
  <conditionalFormatting sqref="E86:Q100">
    <cfRule type="expression" dxfId="257" priority="12">
      <formula>$D86="SPLIT"</formula>
    </cfRule>
  </conditionalFormatting>
  <conditionalFormatting sqref="N56:Q80 N86:Q100 O107:R114">
    <cfRule type="expression" dxfId="256" priority="4">
      <formula>$A$7="LTE_TAS_VER_1_0"</formula>
    </cfRule>
  </conditionalFormatting>
  <conditionalFormatting sqref="A11:E49">
    <cfRule type="expression" dxfId="25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4"/>
  <sheetViews>
    <sheetView tabSelected="1" topLeftCell="A132" zoomScale="85" zoomScaleNormal="85" workbookViewId="0">
      <pane xSplit="2" topLeftCell="C1" activePane="topRight" state="frozen"/>
      <selection pane="topRight" activeCell="A160" sqref="A155:XFD160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1664</v>
      </c>
    </row>
    <row r="4" spans="3:55">
      <c r="BC4" s="91" t="s">
        <v>1647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2" t="s">
        <v>356</v>
      </c>
      <c r="B17" s="433"/>
      <c r="C17" s="424" t="s">
        <v>241</v>
      </c>
      <c r="D17" s="425"/>
      <c r="E17" s="425"/>
      <c r="F17" s="425"/>
      <c r="G17" s="425"/>
      <c r="H17" s="425"/>
      <c r="I17" s="424" t="s">
        <v>242</v>
      </c>
      <c r="J17" s="425"/>
      <c r="K17" s="425"/>
      <c r="L17" s="425"/>
      <c r="M17" s="426"/>
      <c r="N17" s="32" t="s">
        <v>243</v>
      </c>
      <c r="O17" s="32" t="s">
        <v>244</v>
      </c>
      <c r="P17" s="30" t="s">
        <v>243</v>
      </c>
      <c r="Q17" s="101" t="s">
        <v>1652</v>
      </c>
      <c r="R17" s="101" t="s">
        <v>624</v>
      </c>
      <c r="S17" s="101" t="s">
        <v>911</v>
      </c>
      <c r="T17" s="101" t="s">
        <v>1330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684</v>
      </c>
      <c r="I18" s="127" t="s">
        <v>195</v>
      </c>
      <c r="J18" s="127" t="s">
        <v>196</v>
      </c>
      <c r="K18" s="127" t="s">
        <v>197</v>
      </c>
      <c r="L18" s="127" t="s">
        <v>686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1164</v>
      </c>
      <c r="S18" s="102" t="s">
        <v>1165</v>
      </c>
      <c r="T18" s="102" t="s">
        <v>1489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1019</v>
      </c>
      <c r="E19" s="48" t="s">
        <v>200</v>
      </c>
      <c r="F19" s="126" t="s">
        <v>1019</v>
      </c>
      <c r="G19" s="48" t="s">
        <v>201</v>
      </c>
      <c r="H19" s="163"/>
      <c r="I19" s="48" t="s">
        <v>199</v>
      </c>
      <c r="J19" s="126" t="s">
        <v>1019</v>
      </c>
      <c r="K19" s="48" t="s">
        <v>201</v>
      </c>
      <c r="L19" s="163"/>
      <c r="M19" s="54" t="s">
        <v>292</v>
      </c>
      <c r="N19" s="83" t="s">
        <v>1670</v>
      </c>
      <c r="O19" s="35" t="s">
        <v>182</v>
      </c>
      <c r="P19" s="84" t="str">
        <f t="shared" ref="P19:P89" si="0">N19</f>
        <v>TRUE</v>
      </c>
      <c r="Q19" s="49"/>
      <c r="R19" s="90" t="s">
        <v>1671</v>
      </c>
      <c r="S19" s="90" t="s">
        <v>1759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1019</v>
      </c>
      <c r="E20" s="48" t="s">
        <v>200</v>
      </c>
      <c r="F20" s="126" t="s">
        <v>1019</v>
      </c>
      <c r="G20" s="48" t="s">
        <v>201</v>
      </c>
      <c r="H20" s="163"/>
      <c r="I20" s="48" t="s">
        <v>200</v>
      </c>
      <c r="J20" s="126" t="s">
        <v>1019</v>
      </c>
      <c r="K20" s="48" t="s">
        <v>201</v>
      </c>
      <c r="L20" s="163"/>
      <c r="M20" s="54" t="s">
        <v>292</v>
      </c>
      <c r="N20" s="83" t="s">
        <v>1670</v>
      </c>
      <c r="O20" s="35" t="s">
        <v>182</v>
      </c>
      <c r="P20" s="84" t="str">
        <f t="shared" si="0"/>
        <v>TRUE</v>
      </c>
      <c r="Q20" s="49"/>
      <c r="R20" s="90" t="s">
        <v>1671</v>
      </c>
      <c r="S20" s="90" t="s">
        <v>1759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1019</v>
      </c>
      <c r="E21" s="48" t="s">
        <v>87</v>
      </c>
      <c r="F21" s="126" t="s">
        <v>1019</v>
      </c>
      <c r="G21" s="48" t="s">
        <v>201</v>
      </c>
      <c r="H21" s="163"/>
      <c r="I21" s="48" t="s">
        <v>199</v>
      </c>
      <c r="J21" s="126" t="s">
        <v>1019</v>
      </c>
      <c r="K21" s="48" t="s">
        <v>201</v>
      </c>
      <c r="L21" s="163"/>
      <c r="M21" s="54" t="s">
        <v>292</v>
      </c>
      <c r="N21" s="83" t="s">
        <v>1670</v>
      </c>
      <c r="O21" s="35" t="s">
        <v>182</v>
      </c>
      <c r="P21" s="84" t="str">
        <f t="shared" si="0"/>
        <v>TRUE</v>
      </c>
      <c r="Q21" s="49"/>
      <c r="R21" s="90" t="s">
        <v>1770</v>
      </c>
      <c r="S21" s="90" t="s">
        <v>1759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1019</v>
      </c>
      <c r="E22" s="48" t="s">
        <v>87</v>
      </c>
      <c r="F22" s="126" t="s">
        <v>1019</v>
      </c>
      <c r="G22" s="48" t="s">
        <v>201</v>
      </c>
      <c r="H22" s="163"/>
      <c r="I22" s="48" t="s">
        <v>87</v>
      </c>
      <c r="J22" s="126" t="s">
        <v>1019</v>
      </c>
      <c r="K22" s="48" t="s">
        <v>201</v>
      </c>
      <c r="L22" s="163"/>
      <c r="M22" s="54" t="s">
        <v>292</v>
      </c>
      <c r="N22" s="83" t="s">
        <v>1670</v>
      </c>
      <c r="O22" s="35" t="s">
        <v>182</v>
      </c>
      <c r="P22" s="84" t="str">
        <f t="shared" si="0"/>
        <v>TRUE</v>
      </c>
      <c r="Q22" s="49"/>
      <c r="R22" s="90" t="s">
        <v>1671</v>
      </c>
      <c r="S22" s="90" t="s">
        <v>1759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1019</v>
      </c>
      <c r="E23" s="48" t="s">
        <v>88</v>
      </c>
      <c r="F23" s="126" t="s">
        <v>1019</v>
      </c>
      <c r="G23" s="48" t="s">
        <v>201</v>
      </c>
      <c r="H23" s="163"/>
      <c r="I23" s="48" t="s">
        <v>199</v>
      </c>
      <c r="J23" s="126" t="s">
        <v>1019</v>
      </c>
      <c r="K23" s="48" t="s">
        <v>201</v>
      </c>
      <c r="L23" s="163"/>
      <c r="M23" s="54" t="s">
        <v>293</v>
      </c>
      <c r="N23" s="83" t="s">
        <v>1670</v>
      </c>
      <c r="O23" s="35" t="s">
        <v>182</v>
      </c>
      <c r="P23" s="84" t="str">
        <f t="shared" si="0"/>
        <v>TRUE</v>
      </c>
      <c r="Q23" s="49"/>
      <c r="R23" s="90" t="s">
        <v>1671</v>
      </c>
      <c r="S23" s="90" t="s">
        <v>1759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1019</v>
      </c>
      <c r="E24" s="48" t="s">
        <v>88</v>
      </c>
      <c r="F24" s="126" t="s">
        <v>1019</v>
      </c>
      <c r="G24" s="48" t="s">
        <v>201</v>
      </c>
      <c r="H24" s="163"/>
      <c r="I24" s="48" t="s">
        <v>88</v>
      </c>
      <c r="J24" s="126" t="s">
        <v>1019</v>
      </c>
      <c r="K24" s="48" t="s">
        <v>201</v>
      </c>
      <c r="L24" s="163"/>
      <c r="M24" s="54" t="s">
        <v>293</v>
      </c>
      <c r="N24" s="83" t="s">
        <v>1670</v>
      </c>
      <c r="O24" s="35" t="s">
        <v>182</v>
      </c>
      <c r="P24" s="84" t="str">
        <f t="shared" si="0"/>
        <v>TRUE</v>
      </c>
      <c r="Q24" s="49"/>
      <c r="R24" s="90" t="s">
        <v>1671</v>
      </c>
      <c r="S24" s="90" t="s">
        <v>1759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1019</v>
      </c>
      <c r="E25" s="48" t="s">
        <v>89</v>
      </c>
      <c r="F25" s="126" t="s">
        <v>1019</v>
      </c>
      <c r="G25" s="48" t="s">
        <v>201</v>
      </c>
      <c r="H25" s="163"/>
      <c r="I25" s="48" t="s">
        <v>199</v>
      </c>
      <c r="J25" s="126" t="s">
        <v>1019</v>
      </c>
      <c r="K25" s="48" t="s">
        <v>201</v>
      </c>
      <c r="L25" s="163"/>
      <c r="M25" s="54" t="s">
        <v>331</v>
      </c>
      <c r="N25" s="83" t="s">
        <v>1670</v>
      </c>
      <c r="O25" s="35" t="s">
        <v>182</v>
      </c>
      <c r="P25" s="84" t="str">
        <f t="shared" si="0"/>
        <v>TRUE</v>
      </c>
      <c r="Q25" s="49"/>
      <c r="R25" s="90" t="s">
        <v>1770</v>
      </c>
      <c r="S25" s="90" t="s">
        <v>1759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1019</v>
      </c>
      <c r="E26" s="48" t="s">
        <v>89</v>
      </c>
      <c r="F26" s="126" t="s">
        <v>1019</v>
      </c>
      <c r="G26" s="48" t="s">
        <v>201</v>
      </c>
      <c r="H26" s="163"/>
      <c r="I26" s="48" t="s">
        <v>89</v>
      </c>
      <c r="J26" s="126" t="s">
        <v>1019</v>
      </c>
      <c r="K26" s="48" t="s">
        <v>201</v>
      </c>
      <c r="L26" s="163"/>
      <c r="M26" s="54" t="s">
        <v>331</v>
      </c>
      <c r="N26" s="83" t="s">
        <v>1670</v>
      </c>
      <c r="O26" s="35" t="s">
        <v>182</v>
      </c>
      <c r="P26" s="84" t="str">
        <f t="shared" si="0"/>
        <v>TRUE</v>
      </c>
      <c r="Q26" s="49"/>
      <c r="R26" s="90" t="s">
        <v>1671</v>
      </c>
      <c r="S26" s="90" t="s">
        <v>1759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6" t="s">
        <v>1019</v>
      </c>
      <c r="E27" s="48" t="s">
        <v>437</v>
      </c>
      <c r="F27" s="126" t="s">
        <v>1019</v>
      </c>
      <c r="G27" s="48" t="s">
        <v>15</v>
      </c>
      <c r="H27" s="163"/>
      <c r="I27" s="48" t="s">
        <v>10</v>
      </c>
      <c r="J27" s="126" t="s">
        <v>1019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6" t="s">
        <v>1019</v>
      </c>
      <c r="E28" s="48" t="s">
        <v>437</v>
      </c>
      <c r="F28" s="126" t="s">
        <v>1019</v>
      </c>
      <c r="G28" s="48" t="s">
        <v>15</v>
      </c>
      <c r="H28" s="163"/>
      <c r="I28" s="48" t="s">
        <v>437</v>
      </c>
      <c r="J28" s="126" t="s">
        <v>1019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6" t="s">
        <v>1019</v>
      </c>
      <c r="E29" s="48" t="s">
        <v>440</v>
      </c>
      <c r="F29" s="126" t="s">
        <v>1019</v>
      </c>
      <c r="G29" s="48" t="s">
        <v>15</v>
      </c>
      <c r="H29" s="163"/>
      <c r="I29" s="48" t="s">
        <v>10</v>
      </c>
      <c r="J29" s="126" t="s">
        <v>1019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6" t="s">
        <v>1019</v>
      </c>
      <c r="E30" s="48" t="s">
        <v>440</v>
      </c>
      <c r="F30" s="126" t="s">
        <v>1019</v>
      </c>
      <c r="G30" s="48" t="s">
        <v>15</v>
      </c>
      <c r="H30" s="163"/>
      <c r="I30" s="48" t="s">
        <v>440</v>
      </c>
      <c r="J30" s="126" t="s">
        <v>1019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6" t="s">
        <v>1019</v>
      </c>
      <c r="E31" s="48" t="s">
        <v>443</v>
      </c>
      <c r="F31" s="126" t="s">
        <v>1019</v>
      </c>
      <c r="G31" s="48" t="s">
        <v>15</v>
      </c>
      <c r="H31" s="163"/>
      <c r="I31" s="48" t="s">
        <v>10</v>
      </c>
      <c r="J31" s="126" t="s">
        <v>1019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6" t="s">
        <v>1019</v>
      </c>
      <c r="E32" s="48" t="s">
        <v>443</v>
      </c>
      <c r="F32" s="126" t="s">
        <v>1019</v>
      </c>
      <c r="G32" s="48" t="s">
        <v>15</v>
      </c>
      <c r="H32" s="163"/>
      <c r="I32" s="48" t="s">
        <v>443</v>
      </c>
      <c r="J32" s="126" t="s">
        <v>1019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1019</v>
      </c>
      <c r="E33" s="48" t="s">
        <v>92</v>
      </c>
      <c r="F33" s="126" t="s">
        <v>1019</v>
      </c>
      <c r="G33" s="48" t="s">
        <v>201</v>
      </c>
      <c r="H33" s="163"/>
      <c r="I33" s="48" t="s">
        <v>199</v>
      </c>
      <c r="J33" s="126" t="s">
        <v>1019</v>
      </c>
      <c r="K33" s="48" t="s">
        <v>201</v>
      </c>
      <c r="L33" s="163"/>
      <c r="M33" s="85" t="s">
        <v>293</v>
      </c>
      <c r="N33" s="83" t="s">
        <v>1670</v>
      </c>
      <c r="O33" s="35" t="s">
        <v>182</v>
      </c>
      <c r="P33" s="84" t="str">
        <f t="shared" si="0"/>
        <v>TRUE</v>
      </c>
      <c r="Q33" s="49"/>
      <c r="R33" s="90" t="s">
        <v>1770</v>
      </c>
      <c r="S33" s="90" t="s">
        <v>1759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1019</v>
      </c>
      <c r="E34" s="48" t="s">
        <v>92</v>
      </c>
      <c r="F34" s="126" t="s">
        <v>1019</v>
      </c>
      <c r="G34" s="48" t="s">
        <v>201</v>
      </c>
      <c r="H34" s="163"/>
      <c r="I34" s="48" t="s">
        <v>92</v>
      </c>
      <c r="J34" s="126" t="s">
        <v>1019</v>
      </c>
      <c r="K34" s="48" t="s">
        <v>201</v>
      </c>
      <c r="L34" s="163"/>
      <c r="M34" s="85" t="s">
        <v>293</v>
      </c>
      <c r="N34" s="83" t="s">
        <v>1670</v>
      </c>
      <c r="O34" s="35" t="s">
        <v>182</v>
      </c>
      <c r="P34" s="84" t="str">
        <f t="shared" si="0"/>
        <v>TRUE</v>
      </c>
      <c r="Q34" s="49"/>
      <c r="R34" s="90" t="s">
        <v>1671</v>
      </c>
      <c r="S34" s="90" t="s">
        <v>1759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6" t="s">
        <v>1019</v>
      </c>
      <c r="E35" s="48" t="s">
        <v>446</v>
      </c>
      <c r="F35" s="126" t="s">
        <v>1019</v>
      </c>
      <c r="G35" s="48" t="s">
        <v>15</v>
      </c>
      <c r="H35" s="163"/>
      <c r="I35" s="48" t="s">
        <v>10</v>
      </c>
      <c r="J35" s="126" t="s">
        <v>1019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6" t="s">
        <v>1019</v>
      </c>
      <c r="E36" s="48" t="s">
        <v>446</v>
      </c>
      <c r="F36" s="126" t="s">
        <v>1019</v>
      </c>
      <c r="G36" s="48" t="s">
        <v>15</v>
      </c>
      <c r="H36" s="163"/>
      <c r="I36" s="48" t="s">
        <v>446</v>
      </c>
      <c r="J36" s="126" t="s">
        <v>1019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1019</v>
      </c>
      <c r="E37" s="48" t="s">
        <v>93</v>
      </c>
      <c r="F37" s="126" t="s">
        <v>1019</v>
      </c>
      <c r="G37" s="48" t="s">
        <v>201</v>
      </c>
      <c r="H37" s="163"/>
      <c r="I37" s="48" t="s">
        <v>199</v>
      </c>
      <c r="J37" s="126" t="s">
        <v>1019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1019</v>
      </c>
      <c r="E38" s="48" t="s">
        <v>93</v>
      </c>
      <c r="F38" s="126" t="s">
        <v>1019</v>
      </c>
      <c r="G38" s="48" t="s">
        <v>201</v>
      </c>
      <c r="H38" s="163"/>
      <c r="I38" s="48" t="s">
        <v>93</v>
      </c>
      <c r="J38" s="126" t="s">
        <v>1019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1019</v>
      </c>
      <c r="E39" s="48" t="s">
        <v>27</v>
      </c>
      <c r="F39" s="126" t="s">
        <v>1019</v>
      </c>
      <c r="G39" s="48" t="s">
        <v>201</v>
      </c>
      <c r="H39" s="163"/>
      <c r="I39" s="48" t="s">
        <v>199</v>
      </c>
      <c r="J39" s="126" t="s">
        <v>1019</v>
      </c>
      <c r="K39" s="48" t="s">
        <v>201</v>
      </c>
      <c r="L39" s="163"/>
      <c r="M39" s="54" t="s">
        <v>292</v>
      </c>
      <c r="N39" s="83" t="s">
        <v>1670</v>
      </c>
      <c r="O39" s="35" t="s">
        <v>182</v>
      </c>
      <c r="P39" s="84" t="str">
        <f t="shared" si="0"/>
        <v>TRUE</v>
      </c>
      <c r="Q39" s="49"/>
      <c r="R39" s="90" t="s">
        <v>1770</v>
      </c>
      <c r="S39" s="90" t="s">
        <v>1759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1019</v>
      </c>
      <c r="E40" s="48" t="s">
        <v>27</v>
      </c>
      <c r="F40" s="126" t="s">
        <v>1019</v>
      </c>
      <c r="G40" s="48" t="s">
        <v>201</v>
      </c>
      <c r="H40" s="163"/>
      <c r="I40" s="48" t="s">
        <v>27</v>
      </c>
      <c r="J40" s="126" t="s">
        <v>1019</v>
      </c>
      <c r="K40" s="48" t="s">
        <v>201</v>
      </c>
      <c r="L40" s="163"/>
      <c r="M40" s="54" t="s">
        <v>292</v>
      </c>
      <c r="N40" s="83" t="s">
        <v>1670</v>
      </c>
      <c r="O40" s="35" t="s">
        <v>182</v>
      </c>
      <c r="P40" s="84" t="str">
        <f t="shared" si="0"/>
        <v>TRUE</v>
      </c>
      <c r="Q40" s="49"/>
      <c r="R40" s="90" t="s">
        <v>1671</v>
      </c>
      <c r="S40" s="90" t="s">
        <v>1759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1019</v>
      </c>
      <c r="E41" s="48" t="s">
        <v>44</v>
      </c>
      <c r="F41" s="126" t="s">
        <v>1019</v>
      </c>
      <c r="G41" s="48" t="s">
        <v>201</v>
      </c>
      <c r="H41" s="163"/>
      <c r="I41" s="48" t="s">
        <v>199</v>
      </c>
      <c r="J41" s="126" t="s">
        <v>1019</v>
      </c>
      <c r="K41" s="48" t="s">
        <v>201</v>
      </c>
      <c r="L41" s="163"/>
      <c r="M41" s="54" t="s">
        <v>293</v>
      </c>
      <c r="N41" s="83" t="s">
        <v>1670</v>
      </c>
      <c r="O41" s="35" t="s">
        <v>182</v>
      </c>
      <c r="P41" s="84" t="str">
        <f t="shared" si="0"/>
        <v>TRUE</v>
      </c>
      <c r="Q41" s="49"/>
      <c r="R41" s="90" t="s">
        <v>1671</v>
      </c>
      <c r="S41" s="90" t="s">
        <v>1759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1019</v>
      </c>
      <c r="E42" s="48" t="s">
        <v>44</v>
      </c>
      <c r="F42" s="126" t="s">
        <v>1019</v>
      </c>
      <c r="G42" s="48" t="s">
        <v>201</v>
      </c>
      <c r="H42" s="163"/>
      <c r="I42" s="48" t="s">
        <v>44</v>
      </c>
      <c r="J42" s="126" t="s">
        <v>1019</v>
      </c>
      <c r="K42" s="48" t="s">
        <v>201</v>
      </c>
      <c r="L42" s="163"/>
      <c r="M42" s="54" t="s">
        <v>293</v>
      </c>
      <c r="N42" s="83" t="s">
        <v>1670</v>
      </c>
      <c r="O42" s="35" t="s">
        <v>182</v>
      </c>
      <c r="P42" s="84" t="str">
        <f t="shared" si="0"/>
        <v>TRUE</v>
      </c>
      <c r="Q42" s="49"/>
      <c r="R42" s="90" t="s">
        <v>1671</v>
      </c>
      <c r="S42" s="90" t="s">
        <v>1759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1019</v>
      </c>
      <c r="E43" s="48" t="s">
        <v>24</v>
      </c>
      <c r="F43" s="126" t="s">
        <v>1019</v>
      </c>
      <c r="G43" s="48" t="s">
        <v>201</v>
      </c>
      <c r="H43" s="163"/>
      <c r="I43" s="48" t="s">
        <v>10</v>
      </c>
      <c r="J43" s="126" t="s">
        <v>1019</v>
      </c>
      <c r="K43" s="48" t="s">
        <v>201</v>
      </c>
      <c r="L43" s="163"/>
      <c r="M43" s="54" t="s">
        <v>293</v>
      </c>
      <c r="N43" s="83" t="s">
        <v>1670</v>
      </c>
      <c r="O43" s="35" t="s">
        <v>182</v>
      </c>
      <c r="P43" s="84" t="str">
        <f t="shared" si="0"/>
        <v>TRUE</v>
      </c>
      <c r="Q43" s="49"/>
      <c r="R43" s="90" t="s">
        <v>1671</v>
      </c>
      <c r="S43" s="90" t="s">
        <v>1759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1019</v>
      </c>
      <c r="E44" s="48" t="s">
        <v>24</v>
      </c>
      <c r="F44" s="126" t="s">
        <v>1019</v>
      </c>
      <c r="G44" s="48" t="s">
        <v>201</v>
      </c>
      <c r="H44" s="163"/>
      <c r="I44" s="48" t="s">
        <v>24</v>
      </c>
      <c r="J44" s="126" t="s">
        <v>1019</v>
      </c>
      <c r="K44" s="48" t="s">
        <v>201</v>
      </c>
      <c r="L44" s="163"/>
      <c r="M44" s="54" t="s">
        <v>293</v>
      </c>
      <c r="N44" s="83" t="s">
        <v>1670</v>
      </c>
      <c r="O44" s="35" t="s">
        <v>182</v>
      </c>
      <c r="P44" s="84" t="str">
        <f t="shared" si="0"/>
        <v>TRUE</v>
      </c>
      <c r="Q44" s="49"/>
      <c r="R44" s="90" t="s">
        <v>1671</v>
      </c>
      <c r="S44" s="90" t="s">
        <v>1759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1019</v>
      </c>
      <c r="E45" s="48" t="s">
        <v>98</v>
      </c>
      <c r="F45" s="126" t="s">
        <v>1019</v>
      </c>
      <c r="G45" s="48" t="s">
        <v>201</v>
      </c>
      <c r="H45" s="163"/>
      <c r="I45" s="48" t="s">
        <v>199</v>
      </c>
      <c r="J45" s="126" t="s">
        <v>1019</v>
      </c>
      <c r="K45" s="48" t="s">
        <v>201</v>
      </c>
      <c r="L45" s="163"/>
      <c r="M45" s="54" t="s">
        <v>293</v>
      </c>
      <c r="N45" s="83" t="s">
        <v>1670</v>
      </c>
      <c r="O45" s="35" t="s">
        <v>182</v>
      </c>
      <c r="P45" s="84" t="str">
        <f t="shared" si="0"/>
        <v>TRUE</v>
      </c>
      <c r="Q45" s="49"/>
      <c r="R45" s="90" t="s">
        <v>1671</v>
      </c>
      <c r="S45" s="90" t="s">
        <v>1759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1019</v>
      </c>
      <c r="E46" s="48" t="s">
        <v>98</v>
      </c>
      <c r="F46" s="126" t="s">
        <v>1019</v>
      </c>
      <c r="G46" s="48" t="s">
        <v>201</v>
      </c>
      <c r="H46" s="163"/>
      <c r="I46" s="48" t="s">
        <v>98</v>
      </c>
      <c r="J46" s="126" t="s">
        <v>1019</v>
      </c>
      <c r="K46" s="48" t="s">
        <v>201</v>
      </c>
      <c r="L46" s="163"/>
      <c r="M46" s="54" t="s">
        <v>293</v>
      </c>
      <c r="N46" s="83" t="s">
        <v>1670</v>
      </c>
      <c r="O46" s="35" t="s">
        <v>182</v>
      </c>
      <c r="P46" s="84" t="str">
        <f t="shared" si="0"/>
        <v>TRUE</v>
      </c>
      <c r="Q46" s="49"/>
      <c r="R46" s="90" t="s">
        <v>1671</v>
      </c>
      <c r="S46" s="90" t="s">
        <v>1759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1019</v>
      </c>
      <c r="E47" s="48" t="s">
        <v>99</v>
      </c>
      <c r="F47" s="126" t="s">
        <v>1019</v>
      </c>
      <c r="G47" s="48" t="s">
        <v>201</v>
      </c>
      <c r="H47" s="163"/>
      <c r="I47" s="48" t="s">
        <v>199</v>
      </c>
      <c r="J47" s="126" t="s">
        <v>1019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1019</v>
      </c>
      <c r="E48" s="48" t="s">
        <v>99</v>
      </c>
      <c r="F48" s="126" t="s">
        <v>1019</v>
      </c>
      <c r="G48" s="48" t="s">
        <v>201</v>
      </c>
      <c r="H48" s="163"/>
      <c r="I48" s="48" t="s">
        <v>99</v>
      </c>
      <c r="J48" s="126" t="s">
        <v>1019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6" t="s">
        <v>1019</v>
      </c>
      <c r="E49" s="48" t="s">
        <v>86</v>
      </c>
      <c r="F49" s="126" t="s">
        <v>1019</v>
      </c>
      <c r="G49" s="48" t="s">
        <v>201</v>
      </c>
      <c r="H49" s="163"/>
      <c r="I49" s="48" t="s">
        <v>84</v>
      </c>
      <c r="J49" s="126" t="s">
        <v>1019</v>
      </c>
      <c r="K49" s="48" t="s">
        <v>201</v>
      </c>
      <c r="L49" s="163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6" t="s">
        <v>1019</v>
      </c>
      <c r="E50" s="48" t="s">
        <v>86</v>
      </c>
      <c r="F50" s="126" t="s">
        <v>1019</v>
      </c>
      <c r="G50" s="48" t="s">
        <v>201</v>
      </c>
      <c r="H50" s="163"/>
      <c r="I50" s="48" t="s">
        <v>86</v>
      </c>
      <c r="J50" s="126" t="s">
        <v>1019</v>
      </c>
      <c r="K50" s="48" t="s">
        <v>201</v>
      </c>
      <c r="L50" s="163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6" t="s">
        <v>1019</v>
      </c>
      <c r="E51" s="48" t="s">
        <v>87</v>
      </c>
      <c r="F51" s="126" t="s">
        <v>1019</v>
      </c>
      <c r="G51" s="48" t="s">
        <v>201</v>
      </c>
      <c r="H51" s="163"/>
      <c r="I51" s="48" t="s">
        <v>84</v>
      </c>
      <c r="J51" s="126" t="s">
        <v>1019</v>
      </c>
      <c r="K51" s="48" t="s">
        <v>201</v>
      </c>
      <c r="L51" s="163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6" t="s">
        <v>1019</v>
      </c>
      <c r="E52" s="48" t="s">
        <v>87</v>
      </c>
      <c r="F52" s="126" t="s">
        <v>1019</v>
      </c>
      <c r="G52" s="48" t="s">
        <v>201</v>
      </c>
      <c r="H52" s="163"/>
      <c r="I52" s="48" t="s">
        <v>87</v>
      </c>
      <c r="J52" s="126" t="s">
        <v>1019</v>
      </c>
      <c r="K52" s="48" t="s">
        <v>201</v>
      </c>
      <c r="L52" s="163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6" t="s">
        <v>1019</v>
      </c>
      <c r="E53" s="48" t="s">
        <v>88</v>
      </c>
      <c r="F53" s="126" t="s">
        <v>1019</v>
      </c>
      <c r="G53" s="48" t="s">
        <v>15</v>
      </c>
      <c r="H53" s="163"/>
      <c r="I53" s="48" t="s">
        <v>84</v>
      </c>
      <c r="J53" s="126" t="s">
        <v>1019</v>
      </c>
      <c r="K53" s="48" t="s">
        <v>15</v>
      </c>
      <c r="L53" s="163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6" t="s">
        <v>1019</v>
      </c>
      <c r="E54" s="48" t="s">
        <v>88</v>
      </c>
      <c r="F54" s="126" t="s">
        <v>1019</v>
      </c>
      <c r="G54" s="48" t="s">
        <v>15</v>
      </c>
      <c r="H54" s="163"/>
      <c r="I54" s="48" t="s">
        <v>88</v>
      </c>
      <c r="J54" s="126" t="s">
        <v>1019</v>
      </c>
      <c r="K54" s="48" t="s">
        <v>15</v>
      </c>
      <c r="L54" s="163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6" t="s">
        <v>1019</v>
      </c>
      <c r="E55" s="48" t="s">
        <v>90</v>
      </c>
      <c r="F55" s="126" t="s">
        <v>1019</v>
      </c>
      <c r="G55" s="48" t="s">
        <v>201</v>
      </c>
      <c r="H55" s="163"/>
      <c r="I55" s="48" t="s">
        <v>84</v>
      </c>
      <c r="J55" s="126" t="s">
        <v>1019</v>
      </c>
      <c r="K55" s="48" t="s">
        <v>201</v>
      </c>
      <c r="L55" s="163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6" t="s">
        <v>1019</v>
      </c>
      <c r="E56" s="48" t="s">
        <v>90</v>
      </c>
      <c r="F56" s="126" t="s">
        <v>1019</v>
      </c>
      <c r="G56" s="48" t="s">
        <v>201</v>
      </c>
      <c r="H56" s="163"/>
      <c r="I56" s="48" t="s">
        <v>90</v>
      </c>
      <c r="J56" s="126" t="s">
        <v>1019</v>
      </c>
      <c r="K56" s="48" t="s">
        <v>201</v>
      </c>
      <c r="L56" s="163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6" t="s">
        <v>1019</v>
      </c>
      <c r="E57" s="48" t="s">
        <v>408</v>
      </c>
      <c r="F57" s="126" t="s">
        <v>1019</v>
      </c>
      <c r="G57" s="48" t="s">
        <v>15</v>
      </c>
      <c r="H57" s="163"/>
      <c r="I57" s="48" t="s">
        <v>84</v>
      </c>
      <c r="J57" s="126" t="s">
        <v>1019</v>
      </c>
      <c r="K57" s="48" t="s">
        <v>15</v>
      </c>
      <c r="L57" s="163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6" t="s">
        <v>1019</v>
      </c>
      <c r="E58" s="48" t="s">
        <v>408</v>
      </c>
      <c r="F58" s="126" t="s">
        <v>1019</v>
      </c>
      <c r="G58" s="48" t="s">
        <v>15</v>
      </c>
      <c r="H58" s="163"/>
      <c r="I58" s="48" t="s">
        <v>408</v>
      </c>
      <c r="J58" s="126" t="s">
        <v>1019</v>
      </c>
      <c r="K58" s="48" t="s">
        <v>15</v>
      </c>
      <c r="L58" s="163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1674</v>
      </c>
      <c r="B59" s="43" t="s">
        <v>310</v>
      </c>
      <c r="C59" s="48" t="s">
        <v>84</v>
      </c>
      <c r="D59" s="126" t="s">
        <v>1019</v>
      </c>
      <c r="E59" s="48" t="s">
        <v>1676</v>
      </c>
      <c r="F59" s="126" t="s">
        <v>1019</v>
      </c>
      <c r="G59" s="48" t="s">
        <v>15</v>
      </c>
      <c r="H59" s="163"/>
      <c r="I59" s="48" t="s">
        <v>84</v>
      </c>
      <c r="J59" s="126" t="s">
        <v>1019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1674</v>
      </c>
      <c r="B60" s="43" t="s">
        <v>1675</v>
      </c>
      <c r="C60" s="48" t="s">
        <v>84</v>
      </c>
      <c r="D60" s="126" t="s">
        <v>1019</v>
      </c>
      <c r="E60" s="48" t="s">
        <v>1676</v>
      </c>
      <c r="F60" s="126" t="s">
        <v>1019</v>
      </c>
      <c r="G60" s="48" t="s">
        <v>15</v>
      </c>
      <c r="H60" s="163"/>
      <c r="I60" s="48" t="s">
        <v>1676</v>
      </c>
      <c r="J60" s="126" t="s">
        <v>1019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6" t="s">
        <v>1019</v>
      </c>
      <c r="E61" s="48" t="s">
        <v>91</v>
      </c>
      <c r="F61" s="126" t="s">
        <v>1019</v>
      </c>
      <c r="G61" s="48" t="s">
        <v>15</v>
      </c>
      <c r="H61" s="163"/>
      <c r="I61" s="48" t="s">
        <v>84</v>
      </c>
      <c r="J61" s="126" t="s">
        <v>1019</v>
      </c>
      <c r="K61" s="48" t="s">
        <v>15</v>
      </c>
      <c r="L61" s="163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6" t="s">
        <v>1019</v>
      </c>
      <c r="E62" s="48" t="s">
        <v>91</v>
      </c>
      <c r="F62" s="126" t="s">
        <v>1019</v>
      </c>
      <c r="G62" s="48" t="s">
        <v>15</v>
      </c>
      <c r="H62" s="163"/>
      <c r="I62" s="48" t="s">
        <v>91</v>
      </c>
      <c r="J62" s="126" t="s">
        <v>1019</v>
      </c>
      <c r="K62" s="48" t="s">
        <v>15</v>
      </c>
      <c r="L62" s="163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1019</v>
      </c>
      <c r="E63" s="48" t="s">
        <v>27</v>
      </c>
      <c r="F63" s="126" t="s">
        <v>1019</v>
      </c>
      <c r="G63" s="48" t="s">
        <v>201</v>
      </c>
      <c r="H63" s="163"/>
      <c r="I63" s="48" t="s">
        <v>84</v>
      </c>
      <c r="J63" s="126" t="s">
        <v>1019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1019</v>
      </c>
      <c r="E64" s="48" t="s">
        <v>27</v>
      </c>
      <c r="F64" s="126" t="s">
        <v>1019</v>
      </c>
      <c r="G64" s="48" t="s">
        <v>201</v>
      </c>
      <c r="H64" s="163"/>
      <c r="I64" s="48" t="s">
        <v>27</v>
      </c>
      <c r="J64" s="126" t="s">
        <v>1019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6" t="s">
        <v>1019</v>
      </c>
      <c r="E65" s="48" t="s">
        <v>413</v>
      </c>
      <c r="F65" s="126" t="s">
        <v>1019</v>
      </c>
      <c r="G65" s="48" t="s">
        <v>15</v>
      </c>
      <c r="H65" s="163"/>
      <c r="I65" s="48" t="s">
        <v>84</v>
      </c>
      <c r="J65" s="126" t="s">
        <v>1019</v>
      </c>
      <c r="K65" s="48" t="s">
        <v>15</v>
      </c>
      <c r="L65" s="163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6" t="s">
        <v>1019</v>
      </c>
      <c r="E66" s="48" t="s">
        <v>415</v>
      </c>
      <c r="F66" s="126" t="s">
        <v>1019</v>
      </c>
      <c r="G66" s="48" t="s">
        <v>15</v>
      </c>
      <c r="H66" s="163"/>
      <c r="I66" s="48" t="s">
        <v>84</v>
      </c>
      <c r="J66" s="126" t="s">
        <v>1019</v>
      </c>
      <c r="K66" s="48" t="s">
        <v>15</v>
      </c>
      <c r="L66" s="163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6" t="s">
        <v>1019</v>
      </c>
      <c r="E67" s="48" t="s">
        <v>415</v>
      </c>
      <c r="F67" s="126" t="s">
        <v>1019</v>
      </c>
      <c r="G67" s="48" t="s">
        <v>15</v>
      </c>
      <c r="H67" s="163"/>
      <c r="I67" s="48" t="s">
        <v>415</v>
      </c>
      <c r="J67" s="126" t="s">
        <v>1019</v>
      </c>
      <c r="K67" s="48" t="s">
        <v>15</v>
      </c>
      <c r="L67" s="163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6" t="s">
        <v>1019</v>
      </c>
      <c r="E68" s="48" t="s">
        <v>402</v>
      </c>
      <c r="F68" s="126" t="s">
        <v>1019</v>
      </c>
      <c r="G68" s="48" t="s">
        <v>15</v>
      </c>
      <c r="H68" s="163"/>
      <c r="I68" s="48" t="s">
        <v>84</v>
      </c>
      <c r="J68" s="126" t="s">
        <v>1019</v>
      </c>
      <c r="K68" s="48" t="s">
        <v>15</v>
      </c>
      <c r="L68" s="163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6" t="s">
        <v>1019</v>
      </c>
      <c r="E69" s="48" t="s">
        <v>402</v>
      </c>
      <c r="F69" s="126" t="s">
        <v>1019</v>
      </c>
      <c r="G69" s="48" t="s">
        <v>15</v>
      </c>
      <c r="H69" s="163"/>
      <c r="I69" s="48" t="s">
        <v>402</v>
      </c>
      <c r="J69" s="126" t="s">
        <v>1019</v>
      </c>
      <c r="K69" s="48" t="s">
        <v>15</v>
      </c>
      <c r="L69" s="163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29" customFormat="1">
      <c r="A70" s="43" t="s">
        <v>1030</v>
      </c>
      <c r="B70" s="43" t="s">
        <v>310</v>
      </c>
      <c r="C70" s="48" t="s">
        <v>84</v>
      </c>
      <c r="D70" s="126" t="s">
        <v>1019</v>
      </c>
      <c r="E70" s="48" t="s">
        <v>1031</v>
      </c>
      <c r="F70" s="126" t="s">
        <v>1019</v>
      </c>
      <c r="G70" s="48" t="s">
        <v>15</v>
      </c>
      <c r="H70" s="163"/>
      <c r="I70" s="48" t="s">
        <v>84</v>
      </c>
      <c r="J70" s="126" t="s">
        <v>1019</v>
      </c>
      <c r="K70" s="48" t="s">
        <v>15</v>
      </c>
      <c r="L70" s="163"/>
      <c r="M70" s="85" t="s">
        <v>1672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29" customFormat="1">
      <c r="A71" s="43" t="s">
        <v>1030</v>
      </c>
      <c r="B71" s="43" t="s">
        <v>1032</v>
      </c>
      <c r="C71" s="48" t="s">
        <v>84</v>
      </c>
      <c r="D71" s="126" t="s">
        <v>1019</v>
      </c>
      <c r="E71" s="48" t="s">
        <v>1031</v>
      </c>
      <c r="F71" s="126" t="s">
        <v>1019</v>
      </c>
      <c r="G71" s="48" t="s">
        <v>15</v>
      </c>
      <c r="H71" s="163"/>
      <c r="I71" s="48" t="s">
        <v>1031</v>
      </c>
      <c r="J71" s="126" t="s">
        <v>1019</v>
      </c>
      <c r="K71" s="48" t="s">
        <v>15</v>
      </c>
      <c r="L71" s="163"/>
      <c r="M71" s="85" t="s">
        <v>1672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1019</v>
      </c>
      <c r="E72" s="48" t="s">
        <v>87</v>
      </c>
      <c r="F72" s="126" t="s">
        <v>1019</v>
      </c>
      <c r="G72" s="48" t="s">
        <v>1033</v>
      </c>
      <c r="H72" s="163"/>
      <c r="I72" s="48" t="s">
        <v>85</v>
      </c>
      <c r="J72" s="126" t="s">
        <v>1019</v>
      </c>
      <c r="K72" s="48" t="s">
        <v>1033</v>
      </c>
      <c r="L72" s="163"/>
      <c r="M72" s="54" t="s">
        <v>459</v>
      </c>
      <c r="N72" s="83" t="s">
        <v>1670</v>
      </c>
      <c r="O72" s="35" t="s">
        <v>182</v>
      </c>
      <c r="P72" s="84" t="str">
        <f t="shared" si="0"/>
        <v>TRUE</v>
      </c>
      <c r="Q72" s="49"/>
      <c r="R72" s="90" t="s">
        <v>1770</v>
      </c>
      <c r="S72" s="90" t="s">
        <v>1759</v>
      </c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1019</v>
      </c>
      <c r="E73" s="48" t="s">
        <v>87</v>
      </c>
      <c r="F73" s="126" t="s">
        <v>1019</v>
      </c>
      <c r="G73" s="48" t="s">
        <v>1033</v>
      </c>
      <c r="H73" s="163"/>
      <c r="I73" s="48" t="s">
        <v>87</v>
      </c>
      <c r="J73" s="126" t="s">
        <v>1019</v>
      </c>
      <c r="K73" s="48" t="s">
        <v>1033</v>
      </c>
      <c r="L73" s="163"/>
      <c r="M73" s="54" t="s">
        <v>459</v>
      </c>
      <c r="N73" s="83" t="s">
        <v>1670</v>
      </c>
      <c r="O73" s="35" t="s">
        <v>182</v>
      </c>
      <c r="P73" s="84" t="str">
        <f t="shared" si="0"/>
        <v>TRUE</v>
      </c>
      <c r="Q73" s="49"/>
      <c r="R73" s="90" t="s">
        <v>1671</v>
      </c>
      <c r="S73" s="90" t="s">
        <v>1759</v>
      </c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1019</v>
      </c>
      <c r="E74" s="48" t="s">
        <v>88</v>
      </c>
      <c r="F74" s="126" t="s">
        <v>1019</v>
      </c>
      <c r="G74" s="48" t="s">
        <v>1033</v>
      </c>
      <c r="H74" s="163"/>
      <c r="I74" s="48" t="s">
        <v>85</v>
      </c>
      <c r="J74" s="126" t="s">
        <v>1019</v>
      </c>
      <c r="K74" s="48" t="s">
        <v>1033</v>
      </c>
      <c r="L74" s="163"/>
      <c r="M74" s="54" t="s">
        <v>292</v>
      </c>
      <c r="N74" s="83" t="s">
        <v>1670</v>
      </c>
      <c r="O74" s="35" t="s">
        <v>182</v>
      </c>
      <c r="P74" s="84" t="str">
        <f t="shared" si="0"/>
        <v>TRUE</v>
      </c>
      <c r="Q74" s="49"/>
      <c r="R74" s="90" t="s">
        <v>1671</v>
      </c>
      <c r="S74" s="90" t="s">
        <v>1759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1019</v>
      </c>
      <c r="E75" s="48" t="s">
        <v>88</v>
      </c>
      <c r="F75" s="126" t="s">
        <v>1019</v>
      </c>
      <c r="G75" s="48" t="s">
        <v>1033</v>
      </c>
      <c r="H75" s="163"/>
      <c r="I75" s="48" t="s">
        <v>88</v>
      </c>
      <c r="J75" s="126" t="s">
        <v>1019</v>
      </c>
      <c r="K75" s="48" t="s">
        <v>1033</v>
      </c>
      <c r="L75" s="163"/>
      <c r="M75" s="54" t="s">
        <v>292</v>
      </c>
      <c r="N75" s="83" t="s">
        <v>1670</v>
      </c>
      <c r="O75" s="35" t="s">
        <v>182</v>
      </c>
      <c r="P75" s="84" t="str">
        <f t="shared" si="0"/>
        <v>TRUE</v>
      </c>
      <c r="Q75" s="49"/>
      <c r="R75" s="90" t="s">
        <v>1671</v>
      </c>
      <c r="S75" s="90" t="s">
        <v>1759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1019</v>
      </c>
      <c r="E76" s="48" t="s">
        <v>89</v>
      </c>
      <c r="F76" s="126" t="s">
        <v>1019</v>
      </c>
      <c r="G76" s="48" t="s">
        <v>1033</v>
      </c>
      <c r="H76" s="163"/>
      <c r="I76" s="48" t="s">
        <v>85</v>
      </c>
      <c r="J76" s="126" t="s">
        <v>1019</v>
      </c>
      <c r="K76" s="48" t="s">
        <v>1033</v>
      </c>
      <c r="L76" s="163"/>
      <c r="M76" s="54" t="s">
        <v>332</v>
      </c>
      <c r="N76" s="83" t="s">
        <v>1670</v>
      </c>
      <c r="O76" s="35" t="s">
        <v>182</v>
      </c>
      <c r="P76" s="84" t="str">
        <f t="shared" si="0"/>
        <v>TRUE</v>
      </c>
      <c r="Q76" s="49"/>
      <c r="R76" s="90" t="s">
        <v>1770</v>
      </c>
      <c r="S76" s="90" t="s">
        <v>1759</v>
      </c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1019</v>
      </c>
      <c r="E77" s="48" t="s">
        <v>89</v>
      </c>
      <c r="F77" s="126" t="s">
        <v>1019</v>
      </c>
      <c r="G77" s="48" t="s">
        <v>1033</v>
      </c>
      <c r="H77" s="163"/>
      <c r="I77" s="48" t="s">
        <v>89</v>
      </c>
      <c r="J77" s="126" t="s">
        <v>1019</v>
      </c>
      <c r="K77" s="48" t="s">
        <v>1033</v>
      </c>
      <c r="L77" s="163"/>
      <c r="M77" s="54" t="s">
        <v>332</v>
      </c>
      <c r="N77" s="83" t="s">
        <v>1670</v>
      </c>
      <c r="O77" s="35" t="s">
        <v>182</v>
      </c>
      <c r="P77" s="84" t="str">
        <f t="shared" si="0"/>
        <v>TRUE</v>
      </c>
      <c r="Q77" s="49"/>
      <c r="R77" s="90" t="s">
        <v>1671</v>
      </c>
      <c r="S77" s="90" t="s">
        <v>1759</v>
      </c>
      <c r="T77" s="90"/>
    </row>
    <row r="78" spans="1:20" s="36" customFormat="1">
      <c r="A78" s="43" t="s">
        <v>1761</v>
      </c>
      <c r="B78" s="43" t="s">
        <v>183</v>
      </c>
      <c r="C78" s="48" t="s">
        <v>85</v>
      </c>
      <c r="D78" s="126" t="s">
        <v>1019</v>
      </c>
      <c r="E78" s="48" t="s">
        <v>437</v>
      </c>
      <c r="F78" s="126" t="s">
        <v>1019</v>
      </c>
      <c r="G78" s="48" t="s">
        <v>15</v>
      </c>
      <c r="H78" s="163"/>
      <c r="I78" s="48" t="s">
        <v>85</v>
      </c>
      <c r="J78" s="126" t="s">
        <v>1019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1761</v>
      </c>
      <c r="B79" s="43" t="s">
        <v>438</v>
      </c>
      <c r="C79" s="48" t="s">
        <v>85</v>
      </c>
      <c r="D79" s="126" t="s">
        <v>1019</v>
      </c>
      <c r="E79" s="48" t="s">
        <v>437</v>
      </c>
      <c r="F79" s="126" t="s">
        <v>1019</v>
      </c>
      <c r="G79" s="48" t="s">
        <v>15</v>
      </c>
      <c r="H79" s="163"/>
      <c r="I79" s="48" t="s">
        <v>437</v>
      </c>
      <c r="J79" s="126" t="s">
        <v>1019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6" t="s">
        <v>1019</v>
      </c>
      <c r="E80" s="48" t="s">
        <v>443</v>
      </c>
      <c r="F80" s="126" t="s">
        <v>1019</v>
      </c>
      <c r="G80" s="48" t="s">
        <v>15</v>
      </c>
      <c r="H80" s="163"/>
      <c r="I80" s="48" t="s">
        <v>85</v>
      </c>
      <c r="J80" s="126" t="s">
        <v>1019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6" t="s">
        <v>1019</v>
      </c>
      <c r="E81" s="48" t="s">
        <v>443</v>
      </c>
      <c r="F81" s="126" t="s">
        <v>1019</v>
      </c>
      <c r="G81" s="48" t="s">
        <v>15</v>
      </c>
      <c r="H81" s="163"/>
      <c r="I81" s="48" t="s">
        <v>443</v>
      </c>
      <c r="J81" s="126" t="s">
        <v>1019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1019</v>
      </c>
      <c r="E82" s="48" t="s">
        <v>92</v>
      </c>
      <c r="F82" s="126" t="s">
        <v>1019</v>
      </c>
      <c r="G82" s="48" t="s">
        <v>201</v>
      </c>
      <c r="H82" s="163"/>
      <c r="I82" s="48" t="s">
        <v>85</v>
      </c>
      <c r="J82" s="126" t="s">
        <v>1019</v>
      </c>
      <c r="K82" s="48" t="s">
        <v>201</v>
      </c>
      <c r="L82" s="163"/>
      <c r="M82" s="54" t="s">
        <v>292</v>
      </c>
      <c r="N82" s="83" t="s">
        <v>1670</v>
      </c>
      <c r="O82" s="35" t="s">
        <v>182</v>
      </c>
      <c r="P82" s="84" t="str">
        <f t="shared" si="0"/>
        <v>TRUE</v>
      </c>
      <c r="Q82" s="49"/>
      <c r="R82" s="90" t="s">
        <v>1770</v>
      </c>
      <c r="S82" s="90" t="s">
        <v>1759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1019</v>
      </c>
      <c r="E83" s="48" t="s">
        <v>92</v>
      </c>
      <c r="F83" s="126" t="s">
        <v>1019</v>
      </c>
      <c r="G83" s="48" t="s">
        <v>201</v>
      </c>
      <c r="H83" s="163"/>
      <c r="I83" s="48" t="s">
        <v>92</v>
      </c>
      <c r="J83" s="126" t="s">
        <v>1019</v>
      </c>
      <c r="K83" s="48" t="s">
        <v>201</v>
      </c>
      <c r="L83" s="163"/>
      <c r="M83" s="54" t="s">
        <v>292</v>
      </c>
      <c r="N83" s="83" t="s">
        <v>1670</v>
      </c>
      <c r="O83" s="35" t="s">
        <v>182</v>
      </c>
      <c r="P83" s="84" t="str">
        <f t="shared" si="0"/>
        <v>TRUE</v>
      </c>
      <c r="Q83" s="49"/>
      <c r="R83" s="90" t="s">
        <v>1671</v>
      </c>
      <c r="S83" s="90" t="s">
        <v>1759</v>
      </c>
      <c r="T83" s="90"/>
    </row>
    <row r="84" spans="1:20" s="36" customFormat="1">
      <c r="A84" s="43" t="s">
        <v>1762</v>
      </c>
      <c r="B84" s="43" t="s">
        <v>183</v>
      </c>
      <c r="C84" s="48" t="s">
        <v>85</v>
      </c>
      <c r="D84" s="126" t="s">
        <v>1019</v>
      </c>
      <c r="E84" s="48" t="s">
        <v>446</v>
      </c>
      <c r="F84" s="126" t="s">
        <v>1019</v>
      </c>
      <c r="G84" s="48" t="s">
        <v>201</v>
      </c>
      <c r="H84" s="163"/>
      <c r="I84" s="48" t="s">
        <v>85</v>
      </c>
      <c r="J84" s="126" t="s">
        <v>1019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1762</v>
      </c>
      <c r="B85" s="43" t="s">
        <v>447</v>
      </c>
      <c r="C85" s="48" t="s">
        <v>85</v>
      </c>
      <c r="D85" s="126" t="s">
        <v>1019</v>
      </c>
      <c r="E85" s="48" t="s">
        <v>446</v>
      </c>
      <c r="F85" s="126" t="s">
        <v>1019</v>
      </c>
      <c r="G85" s="48" t="s">
        <v>201</v>
      </c>
      <c r="H85" s="163"/>
      <c r="I85" s="48" t="s">
        <v>446</v>
      </c>
      <c r="J85" s="126" t="s">
        <v>1019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1019</v>
      </c>
      <c r="E86" s="48" t="s">
        <v>93</v>
      </c>
      <c r="F86" s="126" t="s">
        <v>1019</v>
      </c>
      <c r="G86" s="48" t="s">
        <v>201</v>
      </c>
      <c r="H86" s="163"/>
      <c r="I86" s="48" t="s">
        <v>85</v>
      </c>
      <c r="J86" s="126" t="s">
        <v>1019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1019</v>
      </c>
      <c r="E87" s="48" t="s">
        <v>93</v>
      </c>
      <c r="F87" s="126" t="s">
        <v>1019</v>
      </c>
      <c r="G87" s="48" t="s">
        <v>201</v>
      </c>
      <c r="H87" s="163"/>
      <c r="I87" s="48" t="s">
        <v>93</v>
      </c>
      <c r="J87" s="126" t="s">
        <v>1019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1019</v>
      </c>
      <c r="E88" s="48" t="s">
        <v>27</v>
      </c>
      <c r="F88" s="126" t="s">
        <v>1019</v>
      </c>
      <c r="G88" s="48" t="s">
        <v>201</v>
      </c>
      <c r="H88" s="163"/>
      <c r="I88" s="48" t="s">
        <v>85</v>
      </c>
      <c r="J88" s="126" t="s">
        <v>1019</v>
      </c>
      <c r="K88" s="48" t="s">
        <v>201</v>
      </c>
      <c r="L88" s="163"/>
      <c r="M88" s="54" t="s">
        <v>292</v>
      </c>
      <c r="N88" s="83" t="s">
        <v>1670</v>
      </c>
      <c r="O88" s="35" t="s">
        <v>182</v>
      </c>
      <c r="P88" s="84" t="str">
        <f t="shared" si="0"/>
        <v>TRUE</v>
      </c>
      <c r="Q88" s="49"/>
      <c r="R88" s="90" t="s">
        <v>1770</v>
      </c>
      <c r="S88" s="90" t="s">
        <v>1759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1019</v>
      </c>
      <c r="E89" s="48" t="s">
        <v>27</v>
      </c>
      <c r="F89" s="126" t="s">
        <v>1019</v>
      </c>
      <c r="G89" s="48" t="s">
        <v>201</v>
      </c>
      <c r="H89" s="163"/>
      <c r="I89" s="48" t="s">
        <v>27</v>
      </c>
      <c r="J89" s="126" t="s">
        <v>1019</v>
      </c>
      <c r="K89" s="48" t="s">
        <v>201</v>
      </c>
      <c r="L89" s="163"/>
      <c r="M89" s="54" t="s">
        <v>292</v>
      </c>
      <c r="N89" s="83" t="s">
        <v>1670</v>
      </c>
      <c r="O89" s="35" t="s">
        <v>182</v>
      </c>
      <c r="P89" s="84" t="str">
        <f t="shared" si="0"/>
        <v>TRUE</v>
      </c>
      <c r="Q89" s="49"/>
      <c r="R89" s="90" t="s">
        <v>1671</v>
      </c>
      <c r="S89" s="90" t="s">
        <v>1759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1019</v>
      </c>
      <c r="E90" s="48" t="s">
        <v>95</v>
      </c>
      <c r="F90" s="126" t="s">
        <v>1019</v>
      </c>
      <c r="G90" s="48" t="s">
        <v>201</v>
      </c>
      <c r="H90" s="163"/>
      <c r="I90" s="48" t="s">
        <v>85</v>
      </c>
      <c r="J90" s="126" t="s">
        <v>1019</v>
      </c>
      <c r="K90" s="48" t="s">
        <v>201</v>
      </c>
      <c r="L90" s="163"/>
      <c r="M90" s="54" t="s">
        <v>293</v>
      </c>
      <c r="N90" s="83" t="s">
        <v>1670</v>
      </c>
      <c r="O90" s="35" t="s">
        <v>182</v>
      </c>
      <c r="P90" s="84" t="str">
        <f t="shared" ref="P90:P173" si="5">N90</f>
        <v>TRUE</v>
      </c>
      <c r="Q90" s="49"/>
      <c r="R90" s="90" t="s">
        <v>1671</v>
      </c>
      <c r="S90" s="90" t="s">
        <v>1759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1019</v>
      </c>
      <c r="E91" s="48" t="s">
        <v>44</v>
      </c>
      <c r="F91" s="126" t="s">
        <v>1019</v>
      </c>
      <c r="G91" s="48" t="s">
        <v>201</v>
      </c>
      <c r="H91" s="163"/>
      <c r="I91" s="48" t="s">
        <v>85</v>
      </c>
      <c r="J91" s="126" t="s">
        <v>1019</v>
      </c>
      <c r="K91" s="48" t="s">
        <v>201</v>
      </c>
      <c r="L91" s="163"/>
      <c r="M91" s="54" t="s">
        <v>293</v>
      </c>
      <c r="N91" s="83" t="s">
        <v>1670</v>
      </c>
      <c r="O91" s="35" t="s">
        <v>182</v>
      </c>
      <c r="P91" s="84" t="str">
        <f t="shared" si="5"/>
        <v>TRUE</v>
      </c>
      <c r="Q91" s="49"/>
      <c r="R91" s="90" t="s">
        <v>1771</v>
      </c>
      <c r="S91" s="90" t="s">
        <v>1759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1019</v>
      </c>
      <c r="E92" s="48" t="s">
        <v>44</v>
      </c>
      <c r="F92" s="126" t="s">
        <v>1019</v>
      </c>
      <c r="G92" s="48" t="s">
        <v>201</v>
      </c>
      <c r="H92" s="163"/>
      <c r="I92" s="48" t="s">
        <v>44</v>
      </c>
      <c r="J92" s="126" t="s">
        <v>1019</v>
      </c>
      <c r="K92" s="48" t="s">
        <v>201</v>
      </c>
      <c r="L92" s="163"/>
      <c r="M92" s="54" t="s">
        <v>293</v>
      </c>
      <c r="N92" s="83" t="s">
        <v>1670</v>
      </c>
      <c r="O92" s="35" t="s">
        <v>182</v>
      </c>
      <c r="P92" s="84" t="str">
        <f t="shared" si="5"/>
        <v>TRUE</v>
      </c>
      <c r="Q92" s="49"/>
      <c r="R92" s="90" t="s">
        <v>1770</v>
      </c>
      <c r="S92" s="90" t="s">
        <v>1759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1019</v>
      </c>
      <c r="E93" s="48" t="s">
        <v>24</v>
      </c>
      <c r="F93" s="126" t="s">
        <v>1019</v>
      </c>
      <c r="G93" s="48" t="s">
        <v>201</v>
      </c>
      <c r="H93" s="163"/>
      <c r="I93" s="48" t="s">
        <v>85</v>
      </c>
      <c r="J93" s="126" t="s">
        <v>1019</v>
      </c>
      <c r="K93" s="48" t="s">
        <v>201</v>
      </c>
      <c r="L93" s="163"/>
      <c r="M93" s="54" t="s">
        <v>292</v>
      </c>
      <c r="N93" s="83" t="s">
        <v>1670</v>
      </c>
      <c r="O93" s="35" t="s">
        <v>182</v>
      </c>
      <c r="P93" s="84" t="str">
        <f t="shared" si="5"/>
        <v>TRUE</v>
      </c>
      <c r="Q93" s="49"/>
      <c r="R93" s="90" t="s">
        <v>1671</v>
      </c>
      <c r="S93" s="90" t="s">
        <v>1759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1019</v>
      </c>
      <c r="E94" s="48" t="s">
        <v>24</v>
      </c>
      <c r="F94" s="126" t="s">
        <v>1019</v>
      </c>
      <c r="G94" s="48" t="s">
        <v>201</v>
      </c>
      <c r="H94" s="163"/>
      <c r="I94" s="48" t="s">
        <v>24</v>
      </c>
      <c r="J94" s="126" t="s">
        <v>1019</v>
      </c>
      <c r="K94" s="48" t="s">
        <v>201</v>
      </c>
      <c r="L94" s="163"/>
      <c r="M94" s="54" t="s">
        <v>292</v>
      </c>
      <c r="N94" s="83" t="s">
        <v>1670</v>
      </c>
      <c r="O94" s="35" t="s">
        <v>182</v>
      </c>
      <c r="P94" s="84" t="str">
        <f t="shared" si="5"/>
        <v>TRUE</v>
      </c>
      <c r="Q94" s="49"/>
      <c r="R94" s="90" t="s">
        <v>1770</v>
      </c>
      <c r="S94" s="90" t="s">
        <v>1759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1019</v>
      </c>
      <c r="E95" s="48" t="s">
        <v>98</v>
      </c>
      <c r="F95" s="126" t="s">
        <v>1019</v>
      </c>
      <c r="G95" s="48" t="s">
        <v>201</v>
      </c>
      <c r="H95" s="163"/>
      <c r="I95" s="48" t="s">
        <v>85</v>
      </c>
      <c r="J95" s="126" t="s">
        <v>1019</v>
      </c>
      <c r="K95" s="48" t="s">
        <v>201</v>
      </c>
      <c r="L95" s="163"/>
      <c r="M95" s="54" t="s">
        <v>292</v>
      </c>
      <c r="N95" s="83" t="s">
        <v>1670</v>
      </c>
      <c r="O95" s="35" t="s">
        <v>182</v>
      </c>
      <c r="P95" s="84" t="str">
        <f t="shared" si="5"/>
        <v>TRUE</v>
      </c>
      <c r="Q95" s="49"/>
      <c r="R95" s="90" t="s">
        <v>1671</v>
      </c>
      <c r="S95" s="90" t="s">
        <v>1759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1019</v>
      </c>
      <c r="E96" s="48" t="s">
        <v>98</v>
      </c>
      <c r="F96" s="126" t="s">
        <v>1019</v>
      </c>
      <c r="G96" s="48" t="s">
        <v>201</v>
      </c>
      <c r="H96" s="163"/>
      <c r="I96" s="48" t="s">
        <v>98</v>
      </c>
      <c r="J96" s="126" t="s">
        <v>1019</v>
      </c>
      <c r="K96" s="48" t="s">
        <v>201</v>
      </c>
      <c r="L96" s="163"/>
      <c r="M96" s="54" t="s">
        <v>292</v>
      </c>
      <c r="N96" s="83" t="s">
        <v>1670</v>
      </c>
      <c r="O96" s="35" t="s">
        <v>182</v>
      </c>
      <c r="P96" s="84" t="str">
        <f t="shared" si="5"/>
        <v>TRUE</v>
      </c>
      <c r="Q96" s="49"/>
      <c r="R96" s="90" t="s">
        <v>1671</v>
      </c>
      <c r="S96" s="90" t="s">
        <v>1759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1019</v>
      </c>
      <c r="E97" s="48" t="s">
        <v>99</v>
      </c>
      <c r="F97" s="126" t="s">
        <v>1019</v>
      </c>
      <c r="G97" s="48" t="s">
        <v>201</v>
      </c>
      <c r="H97" s="163"/>
      <c r="I97" s="48" t="s">
        <v>85</v>
      </c>
      <c r="J97" s="126" t="s">
        <v>1019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1019</v>
      </c>
      <c r="E98" s="48" t="s">
        <v>99</v>
      </c>
      <c r="F98" s="126" t="s">
        <v>1019</v>
      </c>
      <c r="G98" s="48" t="s">
        <v>201</v>
      </c>
      <c r="H98" s="163"/>
      <c r="I98" s="48" t="s">
        <v>99</v>
      </c>
      <c r="J98" s="126" t="s">
        <v>1019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1019</v>
      </c>
      <c r="E99" s="48" t="s">
        <v>87</v>
      </c>
      <c r="F99" s="126" t="s">
        <v>1019</v>
      </c>
      <c r="G99" s="48" t="s">
        <v>201</v>
      </c>
      <c r="H99" s="163"/>
      <c r="I99" s="48" t="s">
        <v>86</v>
      </c>
      <c r="J99" s="126" t="s">
        <v>1019</v>
      </c>
      <c r="K99" s="48" t="s">
        <v>201</v>
      </c>
      <c r="L99" s="163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1019</v>
      </c>
      <c r="E100" s="48" t="s">
        <v>87</v>
      </c>
      <c r="F100" s="126" t="s">
        <v>1019</v>
      </c>
      <c r="G100" s="48" t="s">
        <v>201</v>
      </c>
      <c r="H100" s="163"/>
      <c r="I100" s="48" t="s">
        <v>87</v>
      </c>
      <c r="J100" s="126" t="s">
        <v>1019</v>
      </c>
      <c r="K100" s="48" t="s">
        <v>201</v>
      </c>
      <c r="L100" s="163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6" t="s">
        <v>1019</v>
      </c>
      <c r="E101" s="48" t="s">
        <v>88</v>
      </c>
      <c r="F101" s="126" t="s">
        <v>1019</v>
      </c>
      <c r="G101" s="48" t="s">
        <v>15</v>
      </c>
      <c r="H101" s="163"/>
      <c r="I101" s="48" t="s">
        <v>86</v>
      </c>
      <c r="J101" s="126" t="s">
        <v>1019</v>
      </c>
      <c r="K101" s="48" t="s">
        <v>15</v>
      </c>
      <c r="L101" s="163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6" t="s">
        <v>1019</v>
      </c>
      <c r="E102" s="48" t="s">
        <v>88</v>
      </c>
      <c r="F102" s="126" t="s">
        <v>1019</v>
      </c>
      <c r="G102" s="48" t="s">
        <v>15</v>
      </c>
      <c r="H102" s="163"/>
      <c r="I102" s="48" t="s">
        <v>88</v>
      </c>
      <c r="J102" s="126" t="s">
        <v>1019</v>
      </c>
      <c r="K102" s="48" t="s">
        <v>15</v>
      </c>
      <c r="L102" s="163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6" t="s">
        <v>1019</v>
      </c>
      <c r="E103" s="48" t="s">
        <v>90</v>
      </c>
      <c r="F103" s="126" t="s">
        <v>1019</v>
      </c>
      <c r="G103" s="48" t="s">
        <v>15</v>
      </c>
      <c r="H103" s="163"/>
      <c r="I103" s="48" t="s">
        <v>86</v>
      </c>
      <c r="J103" s="126" t="s">
        <v>1019</v>
      </c>
      <c r="K103" s="48" t="s">
        <v>15</v>
      </c>
      <c r="L103" s="163"/>
      <c r="M103" s="85" t="s">
        <v>1673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6" t="s">
        <v>1019</v>
      </c>
      <c r="E104" s="48" t="s">
        <v>90</v>
      </c>
      <c r="F104" s="126" t="s">
        <v>1019</v>
      </c>
      <c r="G104" s="48" t="s">
        <v>15</v>
      </c>
      <c r="H104" s="163"/>
      <c r="I104" s="48" t="s">
        <v>90</v>
      </c>
      <c r="J104" s="126" t="s">
        <v>1019</v>
      </c>
      <c r="K104" s="48" t="s">
        <v>15</v>
      </c>
      <c r="L104" s="163"/>
      <c r="M104" s="85" t="s">
        <v>1673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6" t="s">
        <v>1019</v>
      </c>
      <c r="E105" s="48" t="s">
        <v>408</v>
      </c>
      <c r="F105" s="126" t="s">
        <v>1019</v>
      </c>
      <c r="G105" s="48" t="s">
        <v>15</v>
      </c>
      <c r="H105" s="163"/>
      <c r="I105" s="48" t="s">
        <v>86</v>
      </c>
      <c r="J105" s="126" t="s">
        <v>1019</v>
      </c>
      <c r="K105" s="48" t="s">
        <v>15</v>
      </c>
      <c r="L105" s="163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6" t="s">
        <v>1019</v>
      </c>
      <c r="E106" s="48" t="s">
        <v>408</v>
      </c>
      <c r="F106" s="126" t="s">
        <v>1019</v>
      </c>
      <c r="G106" s="48" t="s">
        <v>15</v>
      </c>
      <c r="H106" s="163"/>
      <c r="I106" s="48" t="s">
        <v>408</v>
      </c>
      <c r="J106" s="126" t="s">
        <v>1019</v>
      </c>
      <c r="K106" s="48" t="s">
        <v>15</v>
      </c>
      <c r="L106" s="163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6" t="s">
        <v>1019</v>
      </c>
      <c r="E107" s="48" t="s">
        <v>91</v>
      </c>
      <c r="F107" s="126" t="s">
        <v>1019</v>
      </c>
      <c r="G107" s="48" t="s">
        <v>15</v>
      </c>
      <c r="H107" s="163"/>
      <c r="I107" s="48" t="s">
        <v>86</v>
      </c>
      <c r="J107" s="126" t="s">
        <v>1019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6" t="s">
        <v>1019</v>
      </c>
      <c r="E108" s="48" t="s">
        <v>91</v>
      </c>
      <c r="F108" s="126" t="s">
        <v>1019</v>
      </c>
      <c r="G108" s="48" t="s">
        <v>15</v>
      </c>
      <c r="H108" s="163"/>
      <c r="I108" s="48" t="s">
        <v>91</v>
      </c>
      <c r="J108" s="126" t="s">
        <v>1019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1019</v>
      </c>
      <c r="E109" s="48" t="s">
        <v>27</v>
      </c>
      <c r="F109" s="126" t="s">
        <v>1019</v>
      </c>
      <c r="G109" s="48" t="s">
        <v>15</v>
      </c>
      <c r="H109" s="163"/>
      <c r="I109" s="48" t="s">
        <v>86</v>
      </c>
      <c r="J109" s="126" t="s">
        <v>1019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1019</v>
      </c>
      <c r="E110" s="48" t="s">
        <v>27</v>
      </c>
      <c r="F110" s="126" t="s">
        <v>1019</v>
      </c>
      <c r="G110" s="48" t="s">
        <v>15</v>
      </c>
      <c r="H110" s="163"/>
      <c r="I110" s="48" t="s">
        <v>27</v>
      </c>
      <c r="J110" s="126" t="s">
        <v>1019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6" t="s">
        <v>1019</v>
      </c>
      <c r="E111" s="48" t="s">
        <v>413</v>
      </c>
      <c r="F111" s="126" t="s">
        <v>1019</v>
      </c>
      <c r="G111" s="48" t="s">
        <v>15</v>
      </c>
      <c r="H111" s="163"/>
      <c r="I111" s="48" t="s">
        <v>86</v>
      </c>
      <c r="J111" s="126" t="s">
        <v>1019</v>
      </c>
      <c r="K111" s="48" t="s">
        <v>15</v>
      </c>
      <c r="L111" s="163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6" t="s">
        <v>1019</v>
      </c>
      <c r="E112" s="48" t="s">
        <v>415</v>
      </c>
      <c r="F112" s="126" t="s">
        <v>1019</v>
      </c>
      <c r="G112" s="48" t="s">
        <v>15</v>
      </c>
      <c r="H112" s="163"/>
      <c r="I112" s="48" t="s">
        <v>86</v>
      </c>
      <c r="J112" s="126" t="s">
        <v>1019</v>
      </c>
      <c r="K112" s="48" t="s">
        <v>15</v>
      </c>
      <c r="L112" s="163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6" t="s">
        <v>1019</v>
      </c>
      <c r="E113" s="48" t="s">
        <v>415</v>
      </c>
      <c r="F113" s="126" t="s">
        <v>1019</v>
      </c>
      <c r="G113" s="48" t="s">
        <v>15</v>
      </c>
      <c r="H113" s="163"/>
      <c r="I113" s="48" t="s">
        <v>415</v>
      </c>
      <c r="J113" s="126" t="s">
        <v>1019</v>
      </c>
      <c r="K113" s="48" t="s">
        <v>15</v>
      </c>
      <c r="L113" s="163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6" t="s">
        <v>1019</v>
      </c>
      <c r="E114" s="48" t="s">
        <v>402</v>
      </c>
      <c r="F114" s="126" t="s">
        <v>1019</v>
      </c>
      <c r="G114" s="48" t="s">
        <v>15</v>
      </c>
      <c r="H114" s="163"/>
      <c r="I114" s="48" t="s">
        <v>86</v>
      </c>
      <c r="J114" s="126" t="s">
        <v>1019</v>
      </c>
      <c r="K114" s="48" t="s">
        <v>15</v>
      </c>
      <c r="L114" s="163"/>
      <c r="M114" s="85" t="s">
        <v>1672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6" t="s">
        <v>1019</v>
      </c>
      <c r="E115" s="48" t="s">
        <v>402</v>
      </c>
      <c r="F115" s="126" t="s">
        <v>1019</v>
      </c>
      <c r="G115" s="48" t="s">
        <v>15</v>
      </c>
      <c r="H115" s="163"/>
      <c r="I115" s="48" t="s">
        <v>402</v>
      </c>
      <c r="J115" s="126" t="s">
        <v>1019</v>
      </c>
      <c r="K115" s="48" t="s">
        <v>15</v>
      </c>
      <c r="L115" s="163"/>
      <c r="M115" s="85" t="s">
        <v>1672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1034</v>
      </c>
      <c r="B116" s="43" t="s">
        <v>329</v>
      </c>
      <c r="C116" s="48" t="s">
        <v>86</v>
      </c>
      <c r="D116" s="126" t="s">
        <v>1019</v>
      </c>
      <c r="E116" s="48" t="s">
        <v>1031</v>
      </c>
      <c r="F116" s="126" t="s">
        <v>1019</v>
      </c>
      <c r="G116" s="48" t="s">
        <v>15</v>
      </c>
      <c r="H116" s="163"/>
      <c r="I116" s="48" t="s">
        <v>86</v>
      </c>
      <c r="J116" s="126" t="s">
        <v>1019</v>
      </c>
      <c r="K116" s="48" t="s">
        <v>15</v>
      </c>
      <c r="L116" s="163"/>
      <c r="M116" s="85" t="s">
        <v>1672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29" customFormat="1">
      <c r="A117" s="43" t="s">
        <v>1034</v>
      </c>
      <c r="B117" s="43" t="s">
        <v>1032</v>
      </c>
      <c r="C117" s="48" t="s">
        <v>86</v>
      </c>
      <c r="D117" s="126" t="s">
        <v>1019</v>
      </c>
      <c r="E117" s="48" t="s">
        <v>1031</v>
      </c>
      <c r="F117" s="126" t="s">
        <v>1019</v>
      </c>
      <c r="G117" s="48" t="s">
        <v>15</v>
      </c>
      <c r="H117" s="163"/>
      <c r="I117" s="48" t="s">
        <v>1031</v>
      </c>
      <c r="J117" s="126" t="s">
        <v>1019</v>
      </c>
      <c r="K117" s="48" t="s">
        <v>15</v>
      </c>
      <c r="L117" s="163"/>
      <c r="M117" s="85" t="s">
        <v>1672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1019</v>
      </c>
      <c r="E118" s="48" t="s">
        <v>88</v>
      </c>
      <c r="F118" s="126" t="s">
        <v>1019</v>
      </c>
      <c r="G118" s="48" t="s">
        <v>201</v>
      </c>
      <c r="H118" s="163"/>
      <c r="I118" s="48" t="s">
        <v>87</v>
      </c>
      <c r="J118" s="126" t="s">
        <v>1019</v>
      </c>
      <c r="K118" s="48" t="s">
        <v>201</v>
      </c>
      <c r="L118" s="163"/>
      <c r="M118" s="54" t="s">
        <v>292</v>
      </c>
      <c r="N118" s="83" t="s">
        <v>1670</v>
      </c>
      <c r="O118" s="35" t="s">
        <v>182</v>
      </c>
      <c r="P118" s="84" t="str">
        <f t="shared" si="5"/>
        <v>TRUE</v>
      </c>
      <c r="Q118" s="49"/>
      <c r="R118" s="90" t="s">
        <v>1671</v>
      </c>
      <c r="S118" s="90" t="s">
        <v>1759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1019</v>
      </c>
      <c r="E119" s="48" t="s">
        <v>88</v>
      </c>
      <c r="F119" s="126" t="s">
        <v>1019</v>
      </c>
      <c r="G119" s="48" t="s">
        <v>201</v>
      </c>
      <c r="H119" s="163"/>
      <c r="I119" s="48" t="s">
        <v>88</v>
      </c>
      <c r="J119" s="126" t="s">
        <v>1019</v>
      </c>
      <c r="K119" s="48" t="s">
        <v>201</v>
      </c>
      <c r="L119" s="163"/>
      <c r="M119" s="54" t="s">
        <v>292</v>
      </c>
      <c r="N119" s="83" t="s">
        <v>1670</v>
      </c>
      <c r="O119" s="35" t="s">
        <v>182</v>
      </c>
      <c r="P119" s="84" t="str">
        <f t="shared" si="5"/>
        <v>TRUE</v>
      </c>
      <c r="Q119" s="49"/>
      <c r="R119" s="90" t="s">
        <v>1771</v>
      </c>
      <c r="S119" s="90" t="s">
        <v>1759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6" t="s">
        <v>1019</v>
      </c>
      <c r="E120" s="48" t="s">
        <v>89</v>
      </c>
      <c r="F120" s="126" t="s">
        <v>1019</v>
      </c>
      <c r="G120" s="48" t="s">
        <v>201</v>
      </c>
      <c r="H120" s="163"/>
      <c r="I120" s="48" t="s">
        <v>87</v>
      </c>
      <c r="J120" s="126" t="s">
        <v>1019</v>
      </c>
      <c r="K120" s="48" t="s">
        <v>201</v>
      </c>
      <c r="L120" s="163"/>
      <c r="M120" s="85" t="s">
        <v>1672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6" t="s">
        <v>1019</v>
      </c>
      <c r="E121" s="48" t="s">
        <v>89</v>
      </c>
      <c r="F121" s="126" t="s">
        <v>1019</v>
      </c>
      <c r="G121" s="48" t="s">
        <v>201</v>
      </c>
      <c r="H121" s="163"/>
      <c r="I121" s="48" t="s">
        <v>89</v>
      </c>
      <c r="J121" s="126" t="s">
        <v>1019</v>
      </c>
      <c r="K121" s="48" t="s">
        <v>201</v>
      </c>
      <c r="L121" s="163"/>
      <c r="M121" s="85" t="s">
        <v>1672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1763</v>
      </c>
      <c r="B122" s="43" t="s">
        <v>305</v>
      </c>
      <c r="C122" s="48" t="s">
        <v>87</v>
      </c>
      <c r="D122" s="126" t="s">
        <v>1019</v>
      </c>
      <c r="E122" s="48" t="s">
        <v>399</v>
      </c>
      <c r="F122" s="126" t="s">
        <v>1019</v>
      </c>
      <c r="G122" s="48" t="s">
        <v>15</v>
      </c>
      <c r="H122" s="163"/>
      <c r="I122" s="48" t="s">
        <v>87</v>
      </c>
      <c r="J122" s="126" t="s">
        <v>1019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1763</v>
      </c>
      <c r="B123" s="43" t="s">
        <v>398</v>
      </c>
      <c r="C123" s="48" t="s">
        <v>87</v>
      </c>
      <c r="D123" s="126" t="s">
        <v>1019</v>
      </c>
      <c r="E123" s="48" t="s">
        <v>399</v>
      </c>
      <c r="F123" s="126" t="s">
        <v>1019</v>
      </c>
      <c r="G123" s="48" t="s">
        <v>15</v>
      </c>
      <c r="H123" s="163"/>
      <c r="I123" s="48" t="s">
        <v>399</v>
      </c>
      <c r="J123" s="126" t="s">
        <v>1019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6" t="s">
        <v>1019</v>
      </c>
      <c r="E124" s="48" t="s">
        <v>415</v>
      </c>
      <c r="F124" s="126" t="s">
        <v>1019</v>
      </c>
      <c r="G124" s="48" t="s">
        <v>15</v>
      </c>
      <c r="H124" s="163"/>
      <c r="I124" s="48" t="s">
        <v>87</v>
      </c>
      <c r="J124" s="126" t="s">
        <v>1019</v>
      </c>
      <c r="K124" s="48" t="s">
        <v>15</v>
      </c>
      <c r="L124" s="163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6" t="s">
        <v>1019</v>
      </c>
      <c r="E125" s="48" t="s">
        <v>415</v>
      </c>
      <c r="F125" s="126" t="s">
        <v>1019</v>
      </c>
      <c r="G125" s="48" t="s">
        <v>15</v>
      </c>
      <c r="H125" s="163"/>
      <c r="I125" s="48" t="s">
        <v>415</v>
      </c>
      <c r="J125" s="126" t="s">
        <v>1019</v>
      </c>
      <c r="K125" s="48" t="s">
        <v>15</v>
      </c>
      <c r="L125" s="163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1019</v>
      </c>
      <c r="E126" s="48" t="s">
        <v>24</v>
      </c>
      <c r="F126" s="126" t="s">
        <v>1019</v>
      </c>
      <c r="G126" s="48" t="s">
        <v>201</v>
      </c>
      <c r="H126" s="163"/>
      <c r="I126" s="48" t="s">
        <v>87</v>
      </c>
      <c r="J126" s="126" t="s">
        <v>1019</v>
      </c>
      <c r="K126" s="48" t="s">
        <v>201</v>
      </c>
      <c r="L126" s="163"/>
      <c r="M126" s="54" t="s">
        <v>292</v>
      </c>
      <c r="N126" s="83" t="s">
        <v>1670</v>
      </c>
      <c r="O126" s="35" t="s">
        <v>182</v>
      </c>
      <c r="P126" s="84" t="str">
        <f t="shared" si="5"/>
        <v>TRUE</v>
      </c>
      <c r="Q126" s="49"/>
      <c r="R126" s="90" t="s">
        <v>1671</v>
      </c>
      <c r="S126" s="90" t="s">
        <v>1759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1019</v>
      </c>
      <c r="E127" s="48" t="s">
        <v>24</v>
      </c>
      <c r="F127" s="126" t="s">
        <v>1019</v>
      </c>
      <c r="G127" s="48" t="s">
        <v>201</v>
      </c>
      <c r="H127" s="163"/>
      <c r="I127" s="48" t="s">
        <v>24</v>
      </c>
      <c r="J127" s="126" t="s">
        <v>1019</v>
      </c>
      <c r="K127" s="48" t="s">
        <v>201</v>
      </c>
      <c r="L127" s="163"/>
      <c r="M127" s="54" t="s">
        <v>292</v>
      </c>
      <c r="N127" s="83" t="s">
        <v>1670</v>
      </c>
      <c r="O127" s="35" t="s">
        <v>182</v>
      </c>
      <c r="P127" s="84" t="str">
        <f t="shared" si="5"/>
        <v>TRUE</v>
      </c>
      <c r="Q127" s="49"/>
      <c r="R127" s="90" t="s">
        <v>1771</v>
      </c>
      <c r="S127" s="90" t="s">
        <v>1759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6" t="s">
        <v>1019</v>
      </c>
      <c r="E128" s="48" t="s">
        <v>402</v>
      </c>
      <c r="F128" s="126" t="s">
        <v>1019</v>
      </c>
      <c r="G128" s="48" t="s">
        <v>15</v>
      </c>
      <c r="H128" s="163"/>
      <c r="I128" s="48" t="s">
        <v>87</v>
      </c>
      <c r="J128" s="126" t="s">
        <v>1019</v>
      </c>
      <c r="K128" s="48" t="s">
        <v>15</v>
      </c>
      <c r="L128" s="163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6" t="s">
        <v>1019</v>
      </c>
      <c r="E129" s="48" t="s">
        <v>402</v>
      </c>
      <c r="F129" s="126" t="s">
        <v>1019</v>
      </c>
      <c r="G129" s="48" t="s">
        <v>15</v>
      </c>
      <c r="H129" s="163"/>
      <c r="I129" s="48" t="s">
        <v>402</v>
      </c>
      <c r="J129" s="126" t="s">
        <v>1019</v>
      </c>
      <c r="K129" s="48" t="s">
        <v>15</v>
      </c>
      <c r="L129" s="163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1019</v>
      </c>
      <c r="E130" s="48" t="s">
        <v>89</v>
      </c>
      <c r="F130" s="126" t="s">
        <v>1019</v>
      </c>
      <c r="G130" s="48" t="s">
        <v>201</v>
      </c>
      <c r="H130" s="163"/>
      <c r="I130" s="48" t="s">
        <v>88</v>
      </c>
      <c r="J130" s="126" t="s">
        <v>1019</v>
      </c>
      <c r="K130" s="48" t="s">
        <v>201</v>
      </c>
      <c r="L130" s="163"/>
      <c r="M130" s="85" t="s">
        <v>331</v>
      </c>
      <c r="N130" s="83" t="s">
        <v>1670</v>
      </c>
      <c r="O130" s="35" t="s">
        <v>182</v>
      </c>
      <c r="P130" s="84" t="str">
        <f t="shared" si="5"/>
        <v>TRUE</v>
      </c>
      <c r="Q130" s="49"/>
      <c r="R130" s="90" t="s">
        <v>1770</v>
      </c>
      <c r="S130" s="90" t="s">
        <v>1759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1019</v>
      </c>
      <c r="E131" s="48" t="s">
        <v>89</v>
      </c>
      <c r="F131" s="126" t="s">
        <v>1019</v>
      </c>
      <c r="G131" s="48" t="s">
        <v>201</v>
      </c>
      <c r="H131" s="163"/>
      <c r="I131" s="48" t="s">
        <v>89</v>
      </c>
      <c r="J131" s="126" t="s">
        <v>1019</v>
      </c>
      <c r="K131" s="48" t="s">
        <v>201</v>
      </c>
      <c r="L131" s="163"/>
      <c r="M131" s="85" t="s">
        <v>331</v>
      </c>
      <c r="N131" s="83" t="s">
        <v>1670</v>
      </c>
      <c r="O131" s="35" t="s">
        <v>182</v>
      </c>
      <c r="P131" s="84" t="str">
        <f t="shared" si="5"/>
        <v>TRUE</v>
      </c>
      <c r="Q131" s="49"/>
      <c r="R131" s="90" t="s">
        <v>1671</v>
      </c>
      <c r="S131" s="90" t="s">
        <v>1759</v>
      </c>
      <c r="T131" s="90"/>
    </row>
    <row r="132" spans="1:20" s="36" customFormat="1">
      <c r="A132" s="43" t="s">
        <v>1777</v>
      </c>
      <c r="B132" s="43" t="s">
        <v>296</v>
      </c>
      <c r="C132" s="48" t="s">
        <v>88</v>
      </c>
      <c r="D132" s="126" t="s">
        <v>1019</v>
      </c>
      <c r="E132" s="48" t="s">
        <v>90</v>
      </c>
      <c r="F132" s="126" t="s">
        <v>1019</v>
      </c>
      <c r="G132" s="48" t="s">
        <v>201</v>
      </c>
      <c r="H132" s="163"/>
      <c r="I132" s="48" t="s">
        <v>88</v>
      </c>
      <c r="J132" s="126" t="s">
        <v>1019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1777</v>
      </c>
      <c r="B133" s="43" t="s">
        <v>354</v>
      </c>
      <c r="C133" s="48" t="s">
        <v>88</v>
      </c>
      <c r="D133" s="126" t="s">
        <v>1019</v>
      </c>
      <c r="E133" s="48" t="s">
        <v>90</v>
      </c>
      <c r="F133" s="126" t="s">
        <v>1019</v>
      </c>
      <c r="G133" s="48" t="s">
        <v>201</v>
      </c>
      <c r="H133" s="163"/>
      <c r="I133" s="48" t="s">
        <v>90</v>
      </c>
      <c r="J133" s="126" t="s">
        <v>1019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1019</v>
      </c>
      <c r="E134" s="48" t="s">
        <v>92</v>
      </c>
      <c r="F134" s="126" t="s">
        <v>1019</v>
      </c>
      <c r="G134" s="48" t="s">
        <v>201</v>
      </c>
      <c r="H134" s="163"/>
      <c r="I134" s="48" t="s">
        <v>88</v>
      </c>
      <c r="J134" s="126" t="s">
        <v>1019</v>
      </c>
      <c r="K134" s="48" t="s">
        <v>201</v>
      </c>
      <c r="L134" s="163"/>
      <c r="M134" s="85" t="s">
        <v>292</v>
      </c>
      <c r="N134" s="83" t="s">
        <v>1670</v>
      </c>
      <c r="O134" s="35" t="s">
        <v>182</v>
      </c>
      <c r="P134" s="84" t="str">
        <f t="shared" si="5"/>
        <v>TRUE</v>
      </c>
      <c r="Q134" s="49"/>
      <c r="R134" s="90" t="s">
        <v>1770</v>
      </c>
      <c r="S134" s="90" t="s">
        <v>1759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1019</v>
      </c>
      <c r="E135" s="48" t="s">
        <v>92</v>
      </c>
      <c r="F135" s="126" t="s">
        <v>1019</v>
      </c>
      <c r="G135" s="48" t="s">
        <v>201</v>
      </c>
      <c r="H135" s="163"/>
      <c r="I135" s="48" t="s">
        <v>92</v>
      </c>
      <c r="J135" s="126" t="s">
        <v>1019</v>
      </c>
      <c r="K135" s="48" t="s">
        <v>201</v>
      </c>
      <c r="L135" s="163"/>
      <c r="M135" s="85" t="s">
        <v>292</v>
      </c>
      <c r="N135" s="83" t="s">
        <v>1670</v>
      </c>
      <c r="O135" s="35" t="s">
        <v>182</v>
      </c>
      <c r="P135" s="84" t="str">
        <f t="shared" si="5"/>
        <v>TRUE</v>
      </c>
      <c r="Q135" s="49"/>
      <c r="R135" s="90" t="s">
        <v>1671</v>
      </c>
      <c r="S135" s="90" t="s">
        <v>1759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1019</v>
      </c>
      <c r="E136" s="48" t="s">
        <v>27</v>
      </c>
      <c r="F136" s="126" t="s">
        <v>1019</v>
      </c>
      <c r="G136" s="48" t="s">
        <v>201</v>
      </c>
      <c r="H136" s="163"/>
      <c r="I136" s="48" t="s">
        <v>88</v>
      </c>
      <c r="J136" s="126" t="s">
        <v>1019</v>
      </c>
      <c r="K136" s="48" t="s">
        <v>201</v>
      </c>
      <c r="L136" s="163"/>
      <c r="M136" s="54" t="s">
        <v>292</v>
      </c>
      <c r="N136" s="83" t="s">
        <v>1670</v>
      </c>
      <c r="O136" s="35" t="s">
        <v>182</v>
      </c>
      <c r="P136" s="84" t="str">
        <f t="shared" si="5"/>
        <v>TRUE</v>
      </c>
      <c r="Q136" s="49"/>
      <c r="R136" s="90" t="s">
        <v>1770</v>
      </c>
      <c r="S136" s="90" t="s">
        <v>1759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1019</v>
      </c>
      <c r="E137" s="48" t="s">
        <v>27</v>
      </c>
      <c r="F137" s="126" t="s">
        <v>1019</v>
      </c>
      <c r="G137" s="48" t="s">
        <v>201</v>
      </c>
      <c r="H137" s="163"/>
      <c r="I137" s="48" t="s">
        <v>27</v>
      </c>
      <c r="J137" s="126" t="s">
        <v>1019</v>
      </c>
      <c r="K137" s="48" t="s">
        <v>201</v>
      </c>
      <c r="L137" s="163"/>
      <c r="M137" s="54" t="s">
        <v>292</v>
      </c>
      <c r="N137" s="83" t="s">
        <v>1670</v>
      </c>
      <c r="O137" s="35" t="s">
        <v>182</v>
      </c>
      <c r="P137" s="84" t="str">
        <f t="shared" si="5"/>
        <v>TRUE</v>
      </c>
      <c r="Q137" s="49"/>
      <c r="R137" s="90" t="s">
        <v>1671</v>
      </c>
      <c r="S137" s="90" t="s">
        <v>1759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6" t="s">
        <v>1019</v>
      </c>
      <c r="E138" s="48" t="s">
        <v>95</v>
      </c>
      <c r="F138" s="126" t="s">
        <v>1019</v>
      </c>
      <c r="G138" s="48" t="s">
        <v>201</v>
      </c>
      <c r="H138" s="163"/>
      <c r="I138" s="48" t="s">
        <v>88</v>
      </c>
      <c r="J138" s="126" t="s">
        <v>1019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6" t="s">
        <v>1019</v>
      </c>
      <c r="E139" s="48" t="s">
        <v>44</v>
      </c>
      <c r="F139" s="126" t="s">
        <v>1019</v>
      </c>
      <c r="G139" s="48" t="s">
        <v>201</v>
      </c>
      <c r="H139" s="163"/>
      <c r="I139" s="48" t="s">
        <v>88</v>
      </c>
      <c r="J139" s="126" t="s">
        <v>1019</v>
      </c>
      <c r="K139" s="48" t="s">
        <v>201</v>
      </c>
      <c r="L139" s="163"/>
      <c r="M139" s="85" t="s">
        <v>1672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6" t="s">
        <v>1019</v>
      </c>
      <c r="E140" s="48" t="s">
        <v>44</v>
      </c>
      <c r="F140" s="126" t="s">
        <v>1019</v>
      </c>
      <c r="G140" s="48" t="s">
        <v>201</v>
      </c>
      <c r="H140" s="163"/>
      <c r="I140" s="48" t="s">
        <v>44</v>
      </c>
      <c r="J140" s="126" t="s">
        <v>1019</v>
      </c>
      <c r="K140" s="48" t="s">
        <v>201</v>
      </c>
      <c r="L140" s="163"/>
      <c r="M140" s="85" t="s">
        <v>1672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6" t="s">
        <v>1019</v>
      </c>
      <c r="E141" s="48" t="s">
        <v>24</v>
      </c>
      <c r="F141" s="126" t="s">
        <v>1019</v>
      </c>
      <c r="G141" s="48" t="s">
        <v>201</v>
      </c>
      <c r="H141" s="163"/>
      <c r="I141" s="48" t="s">
        <v>88</v>
      </c>
      <c r="J141" s="126" t="s">
        <v>1019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6" t="s">
        <v>1019</v>
      </c>
      <c r="E142" s="48" t="s">
        <v>24</v>
      </c>
      <c r="F142" s="126" t="s">
        <v>1019</v>
      </c>
      <c r="G142" s="48" t="s">
        <v>201</v>
      </c>
      <c r="H142" s="163"/>
      <c r="I142" s="48" t="s">
        <v>24</v>
      </c>
      <c r="J142" s="126" t="s">
        <v>1019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6" t="s">
        <v>1019</v>
      </c>
      <c r="E143" s="48" t="s">
        <v>99</v>
      </c>
      <c r="F143" s="126" t="s">
        <v>1019</v>
      </c>
      <c r="G143" s="48" t="s">
        <v>201</v>
      </c>
      <c r="H143" s="163"/>
      <c r="I143" s="48" t="s">
        <v>88</v>
      </c>
      <c r="J143" s="126" t="s">
        <v>1019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6" t="s">
        <v>1019</v>
      </c>
      <c r="E144" s="48" t="s">
        <v>99</v>
      </c>
      <c r="F144" s="126" t="s">
        <v>1019</v>
      </c>
      <c r="G144" s="48" t="s">
        <v>201</v>
      </c>
      <c r="H144" s="163"/>
      <c r="I144" s="48" t="s">
        <v>99</v>
      </c>
      <c r="J144" s="126" t="s">
        <v>1019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6" t="s">
        <v>1019</v>
      </c>
      <c r="E145" s="48" t="s">
        <v>402</v>
      </c>
      <c r="F145" s="126" t="s">
        <v>1019</v>
      </c>
      <c r="G145" s="48" t="s">
        <v>15</v>
      </c>
      <c r="H145" s="163"/>
      <c r="I145" s="48" t="s">
        <v>88</v>
      </c>
      <c r="J145" s="126" t="s">
        <v>1019</v>
      </c>
      <c r="K145" s="48" t="s">
        <v>15</v>
      </c>
      <c r="L145" s="163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6" t="s">
        <v>1019</v>
      </c>
      <c r="E146" s="48" t="s">
        <v>402</v>
      </c>
      <c r="F146" s="126" t="s">
        <v>1019</v>
      </c>
      <c r="G146" s="48" t="s">
        <v>15</v>
      </c>
      <c r="H146" s="163"/>
      <c r="I146" s="48" t="s">
        <v>402</v>
      </c>
      <c r="J146" s="126" t="s">
        <v>1019</v>
      </c>
      <c r="K146" s="48" t="s">
        <v>15</v>
      </c>
      <c r="L146" s="163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6" t="s">
        <v>1019</v>
      </c>
      <c r="E147" s="48" t="s">
        <v>437</v>
      </c>
      <c r="F147" s="126" t="s">
        <v>1019</v>
      </c>
      <c r="G147" s="48" t="s">
        <v>15</v>
      </c>
      <c r="H147" s="163"/>
      <c r="I147" s="48" t="s">
        <v>89</v>
      </c>
      <c r="J147" s="126" t="s">
        <v>1019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6" t="s">
        <v>1019</v>
      </c>
      <c r="E148" s="48" t="s">
        <v>437</v>
      </c>
      <c r="F148" s="126" t="s">
        <v>1019</v>
      </c>
      <c r="G148" s="48" t="s">
        <v>15</v>
      </c>
      <c r="H148" s="163"/>
      <c r="I148" s="48" t="s">
        <v>437</v>
      </c>
      <c r="J148" s="126" t="s">
        <v>1019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1019</v>
      </c>
      <c r="E149" s="48" t="s">
        <v>92</v>
      </c>
      <c r="F149" s="126" t="s">
        <v>1019</v>
      </c>
      <c r="G149" s="48" t="s">
        <v>201</v>
      </c>
      <c r="H149" s="163"/>
      <c r="I149" s="48" t="s">
        <v>89</v>
      </c>
      <c r="J149" s="126" t="s">
        <v>1019</v>
      </c>
      <c r="K149" s="48" t="s">
        <v>201</v>
      </c>
      <c r="L149" s="163"/>
      <c r="M149" s="54" t="s">
        <v>292</v>
      </c>
      <c r="N149" s="83" t="s">
        <v>1670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1759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1019</v>
      </c>
      <c r="E150" s="48" t="s">
        <v>92</v>
      </c>
      <c r="F150" s="126" t="s">
        <v>1019</v>
      </c>
      <c r="G150" s="48" t="s">
        <v>201</v>
      </c>
      <c r="H150" s="163"/>
      <c r="I150" s="48" t="s">
        <v>92</v>
      </c>
      <c r="J150" s="126" t="s">
        <v>1019</v>
      </c>
      <c r="K150" s="48" t="s">
        <v>201</v>
      </c>
      <c r="L150" s="163"/>
      <c r="M150" s="54" t="s">
        <v>292</v>
      </c>
      <c r="N150" s="83" t="s">
        <v>1670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1759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6" t="s">
        <v>1019</v>
      </c>
      <c r="E151" s="48" t="s">
        <v>27</v>
      </c>
      <c r="F151" s="126" t="s">
        <v>1019</v>
      </c>
      <c r="G151" s="48" t="s">
        <v>201</v>
      </c>
      <c r="H151" s="163"/>
      <c r="I151" s="48" t="s">
        <v>89</v>
      </c>
      <c r="J151" s="126" t="s">
        <v>1019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6" t="s">
        <v>1019</v>
      </c>
      <c r="E152" s="48" t="s">
        <v>27</v>
      </c>
      <c r="F152" s="126" t="s">
        <v>1019</v>
      </c>
      <c r="G152" s="48" t="s">
        <v>201</v>
      </c>
      <c r="H152" s="163"/>
      <c r="I152" s="48" t="s">
        <v>27</v>
      </c>
      <c r="J152" s="126" t="s">
        <v>1019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1186</v>
      </c>
      <c r="B153" s="43" t="s">
        <v>308</v>
      </c>
      <c r="C153" s="48" t="s">
        <v>89</v>
      </c>
      <c r="D153" s="126" t="s">
        <v>1019</v>
      </c>
      <c r="E153" s="48" t="s">
        <v>1188</v>
      </c>
      <c r="F153" s="126" t="s">
        <v>1019</v>
      </c>
      <c r="G153" s="48" t="s">
        <v>201</v>
      </c>
      <c r="H153" s="163"/>
      <c r="I153" s="48" t="s">
        <v>89</v>
      </c>
      <c r="J153" s="126" t="s">
        <v>1019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1186</v>
      </c>
      <c r="B154" s="43" t="s">
        <v>1187</v>
      </c>
      <c r="C154" s="48" t="s">
        <v>89</v>
      </c>
      <c r="D154" s="126" t="s">
        <v>1019</v>
      </c>
      <c r="E154" s="48" t="s">
        <v>1188</v>
      </c>
      <c r="F154" s="126" t="s">
        <v>1019</v>
      </c>
      <c r="G154" s="48" t="s">
        <v>201</v>
      </c>
      <c r="H154" s="163"/>
      <c r="I154" s="48" t="s">
        <v>1188</v>
      </c>
      <c r="J154" s="126" t="s">
        <v>1019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1778</v>
      </c>
      <c r="B155" s="43" t="s">
        <v>308</v>
      </c>
      <c r="C155" s="48" t="s">
        <v>89</v>
      </c>
      <c r="D155" s="126" t="s">
        <v>1019</v>
      </c>
      <c r="E155" s="48" t="s">
        <v>97</v>
      </c>
      <c r="F155" s="126" t="s">
        <v>1019</v>
      </c>
      <c r="G155" s="48" t="s">
        <v>201</v>
      </c>
      <c r="H155" s="163"/>
      <c r="I155" s="48" t="s">
        <v>89</v>
      </c>
      <c r="J155" s="126" t="s">
        <v>1019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1778</v>
      </c>
      <c r="B156" s="43" t="s">
        <v>185</v>
      </c>
      <c r="C156" s="48" t="s">
        <v>89</v>
      </c>
      <c r="D156" s="126" t="s">
        <v>1019</v>
      </c>
      <c r="E156" s="48" t="s">
        <v>97</v>
      </c>
      <c r="F156" s="126" t="s">
        <v>1019</v>
      </c>
      <c r="G156" s="48" t="s">
        <v>201</v>
      </c>
      <c r="H156" s="163"/>
      <c r="I156" s="48" t="s">
        <v>97</v>
      </c>
      <c r="J156" s="126" t="s">
        <v>1019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1019</v>
      </c>
      <c r="E157" s="48" t="s">
        <v>24</v>
      </c>
      <c r="F157" s="126" t="s">
        <v>1019</v>
      </c>
      <c r="G157" s="48" t="s">
        <v>201</v>
      </c>
      <c r="H157" s="163"/>
      <c r="I157" s="48" t="s">
        <v>89</v>
      </c>
      <c r="J157" s="126" t="s">
        <v>1019</v>
      </c>
      <c r="K157" s="48" t="s">
        <v>201</v>
      </c>
      <c r="L157" s="163"/>
      <c r="M157" s="54" t="s">
        <v>292</v>
      </c>
      <c r="N157" s="83" t="s">
        <v>1670</v>
      </c>
      <c r="O157" s="35" t="s">
        <v>182</v>
      </c>
      <c r="P157" s="84" t="str">
        <f t="shared" si="5"/>
        <v>TRUE</v>
      </c>
      <c r="Q157" s="49"/>
      <c r="R157" s="90" t="s">
        <v>1671</v>
      </c>
      <c r="S157" s="90" t="s">
        <v>1759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1019</v>
      </c>
      <c r="E158" s="48" t="s">
        <v>24</v>
      </c>
      <c r="F158" s="126" t="s">
        <v>1019</v>
      </c>
      <c r="G158" s="48" t="s">
        <v>201</v>
      </c>
      <c r="H158" s="163"/>
      <c r="I158" s="48" t="s">
        <v>24</v>
      </c>
      <c r="J158" s="126" t="s">
        <v>1019</v>
      </c>
      <c r="K158" s="48" t="s">
        <v>201</v>
      </c>
      <c r="L158" s="163"/>
      <c r="M158" s="54" t="s">
        <v>292</v>
      </c>
      <c r="N158" s="83" t="s">
        <v>1670</v>
      </c>
      <c r="O158" s="35" t="s">
        <v>182</v>
      </c>
      <c r="P158" s="84" t="str">
        <f t="shared" si="5"/>
        <v>TRUE</v>
      </c>
      <c r="Q158" s="49"/>
      <c r="R158" s="90" t="s">
        <v>1771</v>
      </c>
      <c r="S158" s="90" t="s">
        <v>1759</v>
      </c>
      <c r="T158" s="90"/>
    </row>
    <row r="159" spans="1:20" s="389" customFormat="1">
      <c r="A159" s="43" t="s">
        <v>1779</v>
      </c>
      <c r="B159" s="43" t="s">
        <v>308</v>
      </c>
      <c r="C159" s="48" t="s">
        <v>89</v>
      </c>
      <c r="D159" s="126" t="s">
        <v>1019</v>
      </c>
      <c r="E159" s="48" t="s">
        <v>98</v>
      </c>
      <c r="F159" s="126" t="s">
        <v>1019</v>
      </c>
      <c r="G159" s="48" t="s">
        <v>201</v>
      </c>
      <c r="H159" s="163"/>
      <c r="I159" s="48" t="s">
        <v>89</v>
      </c>
      <c r="J159" s="126" t="s">
        <v>1019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1779</v>
      </c>
      <c r="B160" s="43" t="s">
        <v>186</v>
      </c>
      <c r="C160" s="48" t="s">
        <v>89</v>
      </c>
      <c r="D160" s="126" t="s">
        <v>1019</v>
      </c>
      <c r="E160" s="48" t="s">
        <v>98</v>
      </c>
      <c r="F160" s="126" t="s">
        <v>1019</v>
      </c>
      <c r="G160" s="48" t="s">
        <v>201</v>
      </c>
      <c r="H160" s="163"/>
      <c r="I160" s="48" t="s">
        <v>98</v>
      </c>
      <c r="J160" s="126" t="s">
        <v>1019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1019</v>
      </c>
      <c r="E161" s="48" t="s">
        <v>99</v>
      </c>
      <c r="F161" s="126" t="s">
        <v>1019</v>
      </c>
      <c r="G161" s="48" t="s">
        <v>201</v>
      </c>
      <c r="H161" s="163"/>
      <c r="I161" s="48" t="s">
        <v>89</v>
      </c>
      <c r="J161" s="126" t="s">
        <v>1019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1019</v>
      </c>
      <c r="E162" s="48" t="s">
        <v>99</v>
      </c>
      <c r="F162" s="126" t="s">
        <v>1019</v>
      </c>
      <c r="G162" s="48" t="s">
        <v>201</v>
      </c>
      <c r="H162" s="163"/>
      <c r="I162" s="48" t="s">
        <v>99</v>
      </c>
      <c r="J162" s="126" t="s">
        <v>1019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6" t="s">
        <v>1019</v>
      </c>
      <c r="E163" s="48" t="s">
        <v>440</v>
      </c>
      <c r="F163" s="126" t="s">
        <v>1019</v>
      </c>
      <c r="G163" s="48" t="s">
        <v>15</v>
      </c>
      <c r="H163" s="163"/>
      <c r="I163" s="48" t="s">
        <v>437</v>
      </c>
      <c r="J163" s="126" t="s">
        <v>1019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6" t="s">
        <v>1019</v>
      </c>
      <c r="E164" s="48" t="s">
        <v>440</v>
      </c>
      <c r="F164" s="126" t="s">
        <v>1019</v>
      </c>
      <c r="G164" s="48" t="s">
        <v>15</v>
      </c>
      <c r="H164" s="163"/>
      <c r="I164" s="48" t="s">
        <v>440</v>
      </c>
      <c r="J164" s="126" t="s">
        <v>1019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1764</v>
      </c>
      <c r="B165" s="43" t="s">
        <v>438</v>
      </c>
      <c r="C165" s="48" t="s">
        <v>437</v>
      </c>
      <c r="D165" s="126" t="s">
        <v>1019</v>
      </c>
      <c r="E165" s="48" t="s">
        <v>27</v>
      </c>
      <c r="F165" s="126" t="s">
        <v>1019</v>
      </c>
      <c r="G165" s="48" t="s">
        <v>15</v>
      </c>
      <c r="H165" s="163"/>
      <c r="I165" s="48" t="s">
        <v>437</v>
      </c>
      <c r="J165" s="126" t="s">
        <v>1019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1764</v>
      </c>
      <c r="B166" s="43" t="s">
        <v>303</v>
      </c>
      <c r="C166" s="48" t="s">
        <v>437</v>
      </c>
      <c r="D166" s="126" t="s">
        <v>1019</v>
      </c>
      <c r="E166" s="48" t="s">
        <v>27</v>
      </c>
      <c r="F166" s="126" t="s">
        <v>1019</v>
      </c>
      <c r="G166" s="48" t="s">
        <v>15</v>
      </c>
      <c r="H166" s="163"/>
      <c r="I166" s="48" t="s">
        <v>27</v>
      </c>
      <c r="J166" s="126" t="s">
        <v>1019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1765</v>
      </c>
      <c r="B167" s="43" t="s">
        <v>438</v>
      </c>
      <c r="C167" s="48" t="s">
        <v>437</v>
      </c>
      <c r="D167" s="126" t="s">
        <v>1019</v>
      </c>
      <c r="E167" s="48" t="s">
        <v>99</v>
      </c>
      <c r="F167" s="126" t="s">
        <v>1019</v>
      </c>
      <c r="G167" s="48" t="s">
        <v>15</v>
      </c>
      <c r="H167" s="163"/>
      <c r="I167" s="48" t="s">
        <v>437</v>
      </c>
      <c r="J167" s="126" t="s">
        <v>1019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1765</v>
      </c>
      <c r="B168" s="43" t="s">
        <v>341</v>
      </c>
      <c r="C168" s="48" t="s">
        <v>437</v>
      </c>
      <c r="D168" s="126" t="s">
        <v>1019</v>
      </c>
      <c r="E168" s="48" t="s">
        <v>99</v>
      </c>
      <c r="F168" s="126" t="s">
        <v>1019</v>
      </c>
      <c r="G168" s="48" t="s">
        <v>15</v>
      </c>
      <c r="H168" s="163"/>
      <c r="I168" s="48" t="s">
        <v>99</v>
      </c>
      <c r="J168" s="126" t="s">
        <v>1019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1766</v>
      </c>
      <c r="B169" s="43" t="s">
        <v>354</v>
      </c>
      <c r="C169" s="48" t="s">
        <v>90</v>
      </c>
      <c r="D169" s="126" t="s">
        <v>1019</v>
      </c>
      <c r="E169" s="48" t="s">
        <v>399</v>
      </c>
      <c r="F169" s="126" t="s">
        <v>1019</v>
      </c>
      <c r="G169" s="48" t="s">
        <v>15</v>
      </c>
      <c r="H169" s="163"/>
      <c r="I169" s="48" t="s">
        <v>90</v>
      </c>
      <c r="J169" s="126" t="s">
        <v>1019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1766</v>
      </c>
      <c r="B170" s="43" t="s">
        <v>398</v>
      </c>
      <c r="C170" s="48" t="s">
        <v>90</v>
      </c>
      <c r="D170" s="126" t="s">
        <v>1019</v>
      </c>
      <c r="E170" s="48" t="s">
        <v>399</v>
      </c>
      <c r="F170" s="126" t="s">
        <v>1019</v>
      </c>
      <c r="G170" s="48" t="s">
        <v>15</v>
      </c>
      <c r="H170" s="163"/>
      <c r="I170" s="48" t="s">
        <v>399</v>
      </c>
      <c r="J170" s="126" t="s">
        <v>1019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6" t="s">
        <v>1019</v>
      </c>
      <c r="E171" s="48" t="s">
        <v>415</v>
      </c>
      <c r="F171" s="126" t="s">
        <v>1019</v>
      </c>
      <c r="G171" s="48" t="s">
        <v>15</v>
      </c>
      <c r="H171" s="163"/>
      <c r="I171" s="48" t="s">
        <v>90</v>
      </c>
      <c r="J171" s="126" t="s">
        <v>1019</v>
      </c>
      <c r="K171" s="48" t="s">
        <v>15</v>
      </c>
      <c r="L171" s="163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6" t="s">
        <v>1019</v>
      </c>
      <c r="E172" s="48" t="s">
        <v>415</v>
      </c>
      <c r="F172" s="126" t="s">
        <v>1019</v>
      </c>
      <c r="G172" s="48" t="s">
        <v>15</v>
      </c>
      <c r="H172" s="163"/>
      <c r="I172" s="48" t="s">
        <v>415</v>
      </c>
      <c r="J172" s="126" t="s">
        <v>1019</v>
      </c>
      <c r="K172" s="48" t="s">
        <v>15</v>
      </c>
      <c r="L172" s="163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6" t="s">
        <v>1019</v>
      </c>
      <c r="E173" s="48" t="s">
        <v>402</v>
      </c>
      <c r="F173" s="126" t="s">
        <v>1019</v>
      </c>
      <c r="G173" s="48" t="s">
        <v>15</v>
      </c>
      <c r="H173" s="163"/>
      <c r="I173" s="48" t="s">
        <v>90</v>
      </c>
      <c r="J173" s="126" t="s">
        <v>1019</v>
      </c>
      <c r="K173" s="48" t="s">
        <v>15</v>
      </c>
      <c r="L173" s="163"/>
      <c r="M173" s="85" t="s">
        <v>1673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6" t="s">
        <v>1019</v>
      </c>
      <c r="E174" s="48" t="s">
        <v>402</v>
      </c>
      <c r="F174" s="126" t="s">
        <v>1019</v>
      </c>
      <c r="G174" s="48" t="s">
        <v>15</v>
      </c>
      <c r="H174" s="163"/>
      <c r="I174" s="48" t="s">
        <v>402</v>
      </c>
      <c r="J174" s="126" t="s">
        <v>1019</v>
      </c>
      <c r="K174" s="48" t="s">
        <v>15</v>
      </c>
      <c r="L174" s="163"/>
      <c r="M174" s="85" t="s">
        <v>1673</v>
      </c>
      <c r="N174" s="83" t="s">
        <v>380</v>
      </c>
      <c r="O174" s="35" t="s">
        <v>182</v>
      </c>
      <c r="P174" s="84" t="str">
        <f t="shared" ref="P174:P227" si="12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6" t="s">
        <v>1019</v>
      </c>
      <c r="E175" s="48" t="s">
        <v>402</v>
      </c>
      <c r="F175" s="126" t="s">
        <v>1019</v>
      </c>
      <c r="G175" s="48" t="s">
        <v>15</v>
      </c>
      <c r="H175" s="163"/>
      <c r="I175" s="48" t="s">
        <v>408</v>
      </c>
      <c r="J175" s="126" t="s">
        <v>1019</v>
      </c>
      <c r="K175" s="48" t="s">
        <v>15</v>
      </c>
      <c r="L175" s="163"/>
      <c r="M175" s="85" t="s">
        <v>293</v>
      </c>
      <c r="N175" s="83" t="s">
        <v>380</v>
      </c>
      <c r="O175" s="35" t="s">
        <v>182</v>
      </c>
      <c r="P175" s="84" t="str">
        <f t="shared" si="12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6" t="s">
        <v>1019</v>
      </c>
      <c r="E176" s="48" t="s">
        <v>402</v>
      </c>
      <c r="F176" s="126" t="s">
        <v>1019</v>
      </c>
      <c r="G176" s="48" t="s">
        <v>15</v>
      </c>
      <c r="H176" s="163"/>
      <c r="I176" s="48" t="s">
        <v>402</v>
      </c>
      <c r="J176" s="126" t="s">
        <v>1019</v>
      </c>
      <c r="K176" s="48" t="s">
        <v>15</v>
      </c>
      <c r="L176" s="163"/>
      <c r="M176" s="85" t="s">
        <v>293</v>
      </c>
      <c r="N176" s="83" t="s">
        <v>380</v>
      </c>
      <c r="O176" s="35" t="s">
        <v>182</v>
      </c>
      <c r="P176" s="84" t="str">
        <f t="shared" si="12"/>
        <v>FALSE</v>
      </c>
      <c r="Q176" s="49"/>
      <c r="R176" s="90"/>
      <c r="S176" s="90"/>
      <c r="T176" s="90"/>
    </row>
    <row r="177" spans="1:20" s="389" customFormat="1">
      <c r="A177" s="43" t="s">
        <v>1677</v>
      </c>
      <c r="B177" s="43" t="s">
        <v>1675</v>
      </c>
      <c r="C177" s="48" t="s">
        <v>1676</v>
      </c>
      <c r="D177" s="126" t="s">
        <v>1019</v>
      </c>
      <c r="E177" s="48" t="s">
        <v>415</v>
      </c>
      <c r="F177" s="126" t="s">
        <v>1019</v>
      </c>
      <c r="G177" s="48" t="s">
        <v>15</v>
      </c>
      <c r="H177" s="163"/>
      <c r="I177" s="48" t="s">
        <v>1676</v>
      </c>
      <c r="J177" s="126" t="s">
        <v>1019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1677</v>
      </c>
      <c r="B178" s="43" t="s">
        <v>416</v>
      </c>
      <c r="C178" s="48" t="s">
        <v>1676</v>
      </c>
      <c r="D178" s="126" t="s">
        <v>1019</v>
      </c>
      <c r="E178" s="48" t="s">
        <v>415</v>
      </c>
      <c r="F178" s="126" t="s">
        <v>1019</v>
      </c>
      <c r="G178" s="48" t="s">
        <v>15</v>
      </c>
      <c r="H178" s="163"/>
      <c r="I178" s="48" t="s">
        <v>415</v>
      </c>
      <c r="J178" s="126" t="s">
        <v>1019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1678</v>
      </c>
      <c r="B179" s="43" t="s">
        <v>1675</v>
      </c>
      <c r="C179" s="48" t="s">
        <v>1676</v>
      </c>
      <c r="D179" s="126" t="s">
        <v>1019</v>
      </c>
      <c r="E179" s="48" t="s">
        <v>402</v>
      </c>
      <c r="F179" s="126" t="s">
        <v>1019</v>
      </c>
      <c r="G179" s="48" t="s">
        <v>15</v>
      </c>
      <c r="H179" s="163"/>
      <c r="I179" s="48" t="s">
        <v>1676</v>
      </c>
      <c r="J179" s="126" t="s">
        <v>1019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1678</v>
      </c>
      <c r="B180" s="43" t="s">
        <v>401</v>
      </c>
      <c r="C180" s="48" t="s">
        <v>1676</v>
      </c>
      <c r="D180" s="126" t="s">
        <v>1019</v>
      </c>
      <c r="E180" s="48" t="s">
        <v>402</v>
      </c>
      <c r="F180" s="126" t="s">
        <v>1019</v>
      </c>
      <c r="G180" s="48" t="s">
        <v>15</v>
      </c>
      <c r="H180" s="163"/>
      <c r="I180" s="48" t="s">
        <v>402</v>
      </c>
      <c r="J180" s="126" t="s">
        <v>1019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6" t="s">
        <v>1019</v>
      </c>
      <c r="E181" s="48" t="s">
        <v>27</v>
      </c>
      <c r="F181" s="126" t="s">
        <v>1019</v>
      </c>
      <c r="G181" s="48" t="s">
        <v>15</v>
      </c>
      <c r="H181" s="163"/>
      <c r="I181" s="48" t="s">
        <v>440</v>
      </c>
      <c r="J181" s="126" t="s">
        <v>1019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6" t="s">
        <v>1019</v>
      </c>
      <c r="E182" s="48" t="s">
        <v>27</v>
      </c>
      <c r="F182" s="126" t="s">
        <v>1019</v>
      </c>
      <c r="G182" s="48" t="s">
        <v>15</v>
      </c>
      <c r="H182" s="163"/>
      <c r="I182" s="48" t="s">
        <v>27</v>
      </c>
      <c r="J182" s="126" t="s">
        <v>1019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6" t="s">
        <v>1019</v>
      </c>
      <c r="E183" s="48" t="s">
        <v>446</v>
      </c>
      <c r="F183" s="126" t="s">
        <v>1019</v>
      </c>
      <c r="G183" s="48" t="s">
        <v>15</v>
      </c>
      <c r="H183" s="163"/>
      <c r="I183" s="48" t="s">
        <v>443</v>
      </c>
      <c r="J183" s="126" t="s">
        <v>1019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6" t="s">
        <v>1019</v>
      </c>
      <c r="E184" s="48" t="s">
        <v>446</v>
      </c>
      <c r="F184" s="126" t="s">
        <v>1019</v>
      </c>
      <c r="G184" s="48" t="s">
        <v>15</v>
      </c>
      <c r="H184" s="163"/>
      <c r="I184" s="48" t="s">
        <v>446</v>
      </c>
      <c r="J184" s="126" t="s">
        <v>1019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6" t="s">
        <v>1019</v>
      </c>
      <c r="E185" s="48" t="s">
        <v>99</v>
      </c>
      <c r="F185" s="126" t="s">
        <v>1019</v>
      </c>
      <c r="G185" s="48" t="s">
        <v>15</v>
      </c>
      <c r="H185" s="163"/>
      <c r="I185" s="48" t="s">
        <v>443</v>
      </c>
      <c r="J185" s="126" t="s">
        <v>1019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6" t="s">
        <v>1019</v>
      </c>
      <c r="E186" s="48" t="s">
        <v>99</v>
      </c>
      <c r="F186" s="126" t="s">
        <v>1019</v>
      </c>
      <c r="G186" s="48" t="s">
        <v>15</v>
      </c>
      <c r="H186" s="163"/>
      <c r="I186" s="48" t="s">
        <v>99</v>
      </c>
      <c r="J186" s="126" t="s">
        <v>1019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6" t="s">
        <v>1019</v>
      </c>
      <c r="E187" s="48" t="s">
        <v>27</v>
      </c>
      <c r="F187" s="126" t="s">
        <v>1019</v>
      </c>
      <c r="G187" s="48" t="s">
        <v>201</v>
      </c>
      <c r="H187" s="163"/>
      <c r="I187" s="48" t="s">
        <v>92</v>
      </c>
      <c r="J187" s="126" t="s">
        <v>1019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6" t="s">
        <v>1019</v>
      </c>
      <c r="E188" s="48" t="s">
        <v>27</v>
      </c>
      <c r="F188" s="126" t="s">
        <v>1019</v>
      </c>
      <c r="G188" s="48" t="s">
        <v>201</v>
      </c>
      <c r="H188" s="163"/>
      <c r="I188" s="48" t="s">
        <v>27</v>
      </c>
      <c r="J188" s="126" t="s">
        <v>1019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1019</v>
      </c>
      <c r="E189" s="48" t="s">
        <v>95</v>
      </c>
      <c r="F189" s="126" t="s">
        <v>1019</v>
      </c>
      <c r="G189" s="48" t="s">
        <v>201</v>
      </c>
      <c r="H189" s="163"/>
      <c r="I189" s="48" t="s">
        <v>92</v>
      </c>
      <c r="J189" s="126" t="s">
        <v>1019</v>
      </c>
      <c r="K189" s="48" t="s">
        <v>201</v>
      </c>
      <c r="L189" s="163"/>
      <c r="M189" s="54" t="s">
        <v>292</v>
      </c>
      <c r="N189" s="83" t="s">
        <v>1670</v>
      </c>
      <c r="O189" s="35" t="s">
        <v>182</v>
      </c>
      <c r="P189" s="84" t="str">
        <f>N189</f>
        <v>TRUE</v>
      </c>
      <c r="Q189" s="49"/>
      <c r="R189" s="90" t="s">
        <v>1671</v>
      </c>
      <c r="S189" s="90" t="s">
        <v>1759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1019</v>
      </c>
      <c r="E190" s="48" t="s">
        <v>44</v>
      </c>
      <c r="F190" s="126" t="s">
        <v>1019</v>
      </c>
      <c r="G190" s="48" t="s">
        <v>201</v>
      </c>
      <c r="H190" s="163"/>
      <c r="I190" s="48" t="s">
        <v>92</v>
      </c>
      <c r="J190" s="126" t="s">
        <v>1019</v>
      </c>
      <c r="K190" s="48" t="s">
        <v>201</v>
      </c>
      <c r="L190" s="163"/>
      <c r="M190" s="54" t="s">
        <v>293</v>
      </c>
      <c r="N190" s="83" t="s">
        <v>1670</v>
      </c>
      <c r="O190" s="35" t="s">
        <v>182</v>
      </c>
      <c r="P190" s="84" t="str">
        <f t="shared" si="12"/>
        <v>TRUE</v>
      </c>
      <c r="Q190" s="49"/>
      <c r="R190" s="90" t="s">
        <v>1671</v>
      </c>
      <c r="S190" s="90" t="s">
        <v>1759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1019</v>
      </c>
      <c r="E191" s="48" t="s">
        <v>44</v>
      </c>
      <c r="F191" s="126" t="s">
        <v>1019</v>
      </c>
      <c r="G191" s="48" t="s">
        <v>201</v>
      </c>
      <c r="H191" s="163"/>
      <c r="I191" s="48" t="s">
        <v>44</v>
      </c>
      <c r="J191" s="126" t="s">
        <v>1019</v>
      </c>
      <c r="K191" s="48" t="s">
        <v>201</v>
      </c>
      <c r="L191" s="163"/>
      <c r="M191" s="54" t="s">
        <v>293</v>
      </c>
      <c r="N191" s="83" t="s">
        <v>1670</v>
      </c>
      <c r="O191" s="35" t="s">
        <v>182</v>
      </c>
      <c r="P191" s="84" t="str">
        <f t="shared" si="12"/>
        <v>TRUE</v>
      </c>
      <c r="Q191" s="49"/>
      <c r="R191" s="90" t="s">
        <v>1771</v>
      </c>
      <c r="S191" s="90" t="s">
        <v>1759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1019</v>
      </c>
      <c r="E192" s="48" t="s">
        <v>99</v>
      </c>
      <c r="F192" s="126" t="s">
        <v>1019</v>
      </c>
      <c r="G192" s="48" t="s">
        <v>201</v>
      </c>
      <c r="H192" s="163"/>
      <c r="I192" s="48" t="s">
        <v>92</v>
      </c>
      <c r="J192" s="126" t="s">
        <v>1019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1019</v>
      </c>
      <c r="E193" s="48" t="s">
        <v>99</v>
      </c>
      <c r="F193" s="126" t="s">
        <v>1019</v>
      </c>
      <c r="G193" s="48" t="s">
        <v>201</v>
      </c>
      <c r="H193" s="163"/>
      <c r="I193" s="48" t="s">
        <v>99</v>
      </c>
      <c r="J193" s="126" t="s">
        <v>1019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1767</v>
      </c>
      <c r="B194" s="43" t="s">
        <v>447</v>
      </c>
      <c r="C194" s="48" t="s">
        <v>446</v>
      </c>
      <c r="D194" s="126" t="s">
        <v>1019</v>
      </c>
      <c r="E194" s="48" t="s">
        <v>27</v>
      </c>
      <c r="F194" s="126" t="s">
        <v>1019</v>
      </c>
      <c r="G194" s="48" t="s">
        <v>15</v>
      </c>
      <c r="H194" s="163"/>
      <c r="I194" s="48" t="s">
        <v>446</v>
      </c>
      <c r="J194" s="126" t="s">
        <v>1019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1767</v>
      </c>
      <c r="B195" s="43" t="s">
        <v>303</v>
      </c>
      <c r="C195" s="48" t="s">
        <v>446</v>
      </c>
      <c r="D195" s="126" t="s">
        <v>1019</v>
      </c>
      <c r="E195" s="48" t="s">
        <v>27</v>
      </c>
      <c r="F195" s="126" t="s">
        <v>1019</v>
      </c>
      <c r="G195" s="48" t="s">
        <v>15</v>
      </c>
      <c r="H195" s="163"/>
      <c r="I195" s="48" t="s">
        <v>27</v>
      </c>
      <c r="J195" s="126" t="s">
        <v>1019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6" t="s">
        <v>1019</v>
      </c>
      <c r="E196" s="48" t="s">
        <v>99</v>
      </c>
      <c r="F196" s="126" t="s">
        <v>1019</v>
      </c>
      <c r="G196" s="48" t="s">
        <v>15</v>
      </c>
      <c r="H196" s="163"/>
      <c r="I196" s="48" t="s">
        <v>446</v>
      </c>
      <c r="J196" s="126" t="s">
        <v>1019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6" t="s">
        <v>1019</v>
      </c>
      <c r="E197" s="48" t="s">
        <v>99</v>
      </c>
      <c r="F197" s="126" t="s">
        <v>1019</v>
      </c>
      <c r="G197" s="48" t="s">
        <v>15</v>
      </c>
      <c r="H197" s="163"/>
      <c r="I197" s="48" t="s">
        <v>99</v>
      </c>
      <c r="J197" s="126" t="s">
        <v>1019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6" t="s">
        <v>1019</v>
      </c>
      <c r="E198" s="48" t="s">
        <v>1038</v>
      </c>
      <c r="F198" s="126" t="s">
        <v>1019</v>
      </c>
      <c r="G198" s="48" t="s">
        <v>15</v>
      </c>
      <c r="H198" s="163"/>
      <c r="I198" s="48" t="s">
        <v>1037</v>
      </c>
      <c r="J198" s="126" t="s">
        <v>1019</v>
      </c>
      <c r="K198" s="48" t="s">
        <v>15</v>
      </c>
      <c r="L198" s="163"/>
      <c r="M198" s="85" t="s">
        <v>293</v>
      </c>
      <c r="N198" s="83" t="s">
        <v>380</v>
      </c>
      <c r="O198" s="35" t="s">
        <v>182</v>
      </c>
      <c r="P198" s="84" t="str">
        <f t="shared" si="12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6" t="s">
        <v>1019</v>
      </c>
      <c r="E199" s="48" t="s">
        <v>1038</v>
      </c>
      <c r="F199" s="126" t="s">
        <v>1019</v>
      </c>
      <c r="G199" s="48" t="s">
        <v>15</v>
      </c>
      <c r="H199" s="163"/>
      <c r="I199" s="48" t="s">
        <v>1038</v>
      </c>
      <c r="J199" s="126" t="s">
        <v>1019</v>
      </c>
      <c r="K199" s="48" t="s">
        <v>15</v>
      </c>
      <c r="L199" s="163"/>
      <c r="M199" s="85" t="s">
        <v>293</v>
      </c>
      <c r="N199" s="83" t="s">
        <v>380</v>
      </c>
      <c r="O199" s="35" t="s">
        <v>182</v>
      </c>
      <c r="P199" s="84" t="str">
        <f t="shared" si="12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6" t="s">
        <v>1019</v>
      </c>
      <c r="E200" s="48" t="s">
        <v>1070</v>
      </c>
      <c r="F200" s="126" t="s">
        <v>1019</v>
      </c>
      <c r="G200" s="48" t="s">
        <v>15</v>
      </c>
      <c r="H200" s="163"/>
      <c r="I200" s="48" t="s">
        <v>1069</v>
      </c>
      <c r="J200" s="126" t="s">
        <v>1019</v>
      </c>
      <c r="K200" s="48" t="s">
        <v>15</v>
      </c>
      <c r="L200" s="163"/>
      <c r="M200" s="85" t="s">
        <v>331</v>
      </c>
      <c r="N200" s="83" t="s">
        <v>380</v>
      </c>
      <c r="O200" s="35" t="s">
        <v>182</v>
      </c>
      <c r="P200" s="84" t="str">
        <f t="shared" si="12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6" t="s">
        <v>1019</v>
      </c>
      <c r="E201" s="48" t="s">
        <v>1070</v>
      </c>
      <c r="F201" s="126" t="s">
        <v>1019</v>
      </c>
      <c r="G201" s="48" t="s">
        <v>15</v>
      </c>
      <c r="H201" s="163"/>
      <c r="I201" s="48" t="s">
        <v>1070</v>
      </c>
      <c r="J201" s="126" t="s">
        <v>1019</v>
      </c>
      <c r="K201" s="48" t="s">
        <v>15</v>
      </c>
      <c r="L201" s="163"/>
      <c r="M201" s="85" t="s">
        <v>331</v>
      </c>
      <c r="N201" s="83" t="s">
        <v>380</v>
      </c>
      <c r="O201" s="35" t="s">
        <v>182</v>
      </c>
      <c r="P201" s="84" t="str">
        <f t="shared" si="12"/>
        <v>FALSE</v>
      </c>
      <c r="Q201" s="49"/>
      <c r="R201" s="90"/>
      <c r="S201" s="90"/>
      <c r="T201" s="90"/>
    </row>
    <row r="202" spans="1:20" customFormat="1">
      <c r="A202" s="43" t="s">
        <v>1195</v>
      </c>
      <c r="B202" s="43" t="s">
        <v>301</v>
      </c>
      <c r="C202" s="48" t="s">
        <v>93</v>
      </c>
      <c r="D202" s="126" t="s">
        <v>1019</v>
      </c>
      <c r="E202" s="48" t="s">
        <v>27</v>
      </c>
      <c r="F202" s="144" t="s">
        <v>1019</v>
      </c>
      <c r="G202" s="48" t="s">
        <v>15</v>
      </c>
      <c r="H202" s="163"/>
      <c r="I202" s="48" t="s">
        <v>93</v>
      </c>
      <c r="J202" s="144" t="s">
        <v>1019</v>
      </c>
      <c r="K202" s="48" t="s">
        <v>15</v>
      </c>
      <c r="L202" s="163"/>
      <c r="M202" s="85" t="s">
        <v>1672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1195</v>
      </c>
      <c r="B203" s="43" t="s">
        <v>303</v>
      </c>
      <c r="C203" s="48" t="s">
        <v>93</v>
      </c>
      <c r="D203" s="126" t="s">
        <v>1019</v>
      </c>
      <c r="E203" s="48" t="s">
        <v>27</v>
      </c>
      <c r="F203" s="144" t="s">
        <v>1019</v>
      </c>
      <c r="G203" s="48" t="s">
        <v>15</v>
      </c>
      <c r="H203" s="163"/>
      <c r="I203" s="48" t="s">
        <v>27</v>
      </c>
      <c r="J203" s="144" t="s">
        <v>1019</v>
      </c>
      <c r="K203" s="48" t="s">
        <v>15</v>
      </c>
      <c r="L203" s="163"/>
      <c r="M203" s="85" t="s">
        <v>1672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1190</v>
      </c>
      <c r="B204" s="43" t="s">
        <v>1191</v>
      </c>
      <c r="C204" s="48" t="s">
        <v>1193</v>
      </c>
      <c r="D204" s="126" t="s">
        <v>1019</v>
      </c>
      <c r="E204" s="48" t="s">
        <v>1194</v>
      </c>
      <c r="F204" s="126" t="s">
        <v>1019</v>
      </c>
      <c r="G204" s="48" t="s">
        <v>15</v>
      </c>
      <c r="H204" s="163"/>
      <c r="I204" s="48" t="s">
        <v>1193</v>
      </c>
      <c r="J204" s="126" t="s">
        <v>1019</v>
      </c>
      <c r="K204" s="48" t="s">
        <v>15</v>
      </c>
      <c r="L204" s="163"/>
      <c r="M204" s="85" t="s">
        <v>293</v>
      </c>
      <c r="N204" s="83" t="s">
        <v>380</v>
      </c>
      <c r="O204" s="35" t="s">
        <v>182</v>
      </c>
      <c r="P204" s="84" t="str">
        <f t="shared" ref="P204:P205" si="16">N204</f>
        <v>FALSE</v>
      </c>
      <c r="Q204" s="49"/>
      <c r="R204" s="90"/>
      <c r="S204" s="90"/>
      <c r="T204" s="90"/>
    </row>
    <row r="205" spans="1:20" customFormat="1">
      <c r="A205" s="43" t="s">
        <v>1190</v>
      </c>
      <c r="B205" s="43" t="s">
        <v>1192</v>
      </c>
      <c r="C205" s="48" t="s">
        <v>1193</v>
      </c>
      <c r="D205" s="126" t="s">
        <v>1019</v>
      </c>
      <c r="E205" s="48" t="s">
        <v>1194</v>
      </c>
      <c r="F205" s="126" t="s">
        <v>1019</v>
      </c>
      <c r="G205" s="48" t="s">
        <v>15</v>
      </c>
      <c r="H205" s="163"/>
      <c r="I205" s="48" t="s">
        <v>1194</v>
      </c>
      <c r="J205" s="126" t="s">
        <v>1019</v>
      </c>
      <c r="K205" s="48" t="s">
        <v>15</v>
      </c>
      <c r="L205" s="163"/>
      <c r="M205" s="85" t="s">
        <v>293</v>
      </c>
      <c r="N205" s="83" t="s">
        <v>380</v>
      </c>
      <c r="O205" s="35" t="s">
        <v>182</v>
      </c>
      <c r="P205" s="84" t="str">
        <f t="shared" si="16"/>
        <v>FALSE</v>
      </c>
      <c r="Q205" s="49"/>
      <c r="R205" s="90"/>
      <c r="S205" s="90"/>
      <c r="T205" s="90"/>
    </row>
    <row r="206" spans="1:20" customFormat="1">
      <c r="A206" s="43" t="s">
        <v>1189</v>
      </c>
      <c r="B206" s="43" t="s">
        <v>303</v>
      </c>
      <c r="C206" s="48" t="s">
        <v>27</v>
      </c>
      <c r="D206" s="126" t="s">
        <v>1019</v>
      </c>
      <c r="E206" s="48" t="s">
        <v>1188</v>
      </c>
      <c r="F206" s="126" t="s">
        <v>1019</v>
      </c>
      <c r="G206" s="48" t="s">
        <v>201</v>
      </c>
      <c r="H206" s="163"/>
      <c r="I206" s="48" t="s">
        <v>27</v>
      </c>
      <c r="J206" s="126" t="s">
        <v>1019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09" si="17">N206</f>
        <v>FALSE</v>
      </c>
      <c r="Q206" s="49"/>
      <c r="R206" s="90"/>
      <c r="S206" s="90"/>
      <c r="T206" s="90"/>
    </row>
    <row r="207" spans="1:20" customFormat="1">
      <c r="A207" s="43" t="s">
        <v>1189</v>
      </c>
      <c r="B207" s="43" t="s">
        <v>1187</v>
      </c>
      <c r="C207" s="48" t="s">
        <v>27</v>
      </c>
      <c r="D207" s="126" t="s">
        <v>1019</v>
      </c>
      <c r="E207" s="48" t="s">
        <v>1188</v>
      </c>
      <c r="F207" s="126" t="s">
        <v>1019</v>
      </c>
      <c r="G207" s="48" t="s">
        <v>201</v>
      </c>
      <c r="H207" s="163"/>
      <c r="I207" s="48" t="s">
        <v>1188</v>
      </c>
      <c r="J207" s="126" t="s">
        <v>1019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1698</v>
      </c>
      <c r="B208" s="43" t="s">
        <v>303</v>
      </c>
      <c r="C208" s="48" t="s">
        <v>27</v>
      </c>
      <c r="D208" s="126" t="s">
        <v>1019</v>
      </c>
      <c r="E208" s="48" t="s">
        <v>98</v>
      </c>
      <c r="F208" s="126" t="s">
        <v>1019</v>
      </c>
      <c r="G208" s="48" t="s">
        <v>201</v>
      </c>
      <c r="H208" s="163"/>
      <c r="I208" s="48" t="s">
        <v>27</v>
      </c>
      <c r="J208" s="126" t="s">
        <v>1019</v>
      </c>
      <c r="K208" s="48" t="s">
        <v>201</v>
      </c>
      <c r="L208" s="163"/>
      <c r="M208" s="85" t="s">
        <v>293</v>
      </c>
      <c r="N208" s="83" t="s">
        <v>380</v>
      </c>
      <c r="O208" s="35" t="s">
        <v>182</v>
      </c>
      <c r="P208" s="84" t="str">
        <f t="shared" si="17"/>
        <v>FALSE</v>
      </c>
      <c r="Q208" s="49"/>
      <c r="R208" s="90"/>
      <c r="S208" s="90"/>
      <c r="T208" s="90"/>
    </row>
    <row r="209" spans="1:20" s="389" customFormat="1">
      <c r="A209" s="43" t="s">
        <v>1698</v>
      </c>
      <c r="B209" s="43" t="s">
        <v>186</v>
      </c>
      <c r="C209" s="48" t="s">
        <v>27</v>
      </c>
      <c r="D209" s="126" t="s">
        <v>1019</v>
      </c>
      <c r="E209" s="48" t="s">
        <v>98</v>
      </c>
      <c r="F209" s="126" t="s">
        <v>1019</v>
      </c>
      <c r="G209" s="48" t="s">
        <v>201</v>
      </c>
      <c r="H209" s="163"/>
      <c r="I209" s="48" t="s">
        <v>98</v>
      </c>
      <c r="J209" s="126" t="s">
        <v>1019</v>
      </c>
      <c r="K209" s="48" t="s">
        <v>201</v>
      </c>
      <c r="L209" s="163"/>
      <c r="M209" s="85" t="s">
        <v>293</v>
      </c>
      <c r="N209" s="83" t="s">
        <v>380</v>
      </c>
      <c r="O209" s="35" t="s">
        <v>182</v>
      </c>
      <c r="P209" s="84" t="str">
        <f t="shared" si="17"/>
        <v>FALSE</v>
      </c>
      <c r="Q209" s="49"/>
      <c r="R209" s="90"/>
      <c r="S209" s="90"/>
      <c r="T209" s="90"/>
    </row>
    <row r="210" spans="1:20" customFormat="1">
      <c r="A210" s="43" t="s">
        <v>393</v>
      </c>
      <c r="B210" s="43" t="s">
        <v>303</v>
      </c>
      <c r="C210" s="48" t="s">
        <v>27</v>
      </c>
      <c r="D210" s="126" t="s">
        <v>1019</v>
      </c>
      <c r="E210" s="48" t="s">
        <v>99</v>
      </c>
      <c r="F210" s="126" t="s">
        <v>1019</v>
      </c>
      <c r="G210" s="48" t="s">
        <v>201</v>
      </c>
      <c r="H210" s="163"/>
      <c r="I210" s="48" t="s">
        <v>27</v>
      </c>
      <c r="J210" s="126" t="s">
        <v>1019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2"/>
        <v>FALSE</v>
      </c>
      <c r="Q210" s="49"/>
      <c r="R210" s="90"/>
      <c r="S210" s="90"/>
      <c r="T210" s="90"/>
    </row>
    <row r="211" spans="1:20" customFormat="1">
      <c r="A211" s="43" t="s">
        <v>393</v>
      </c>
      <c r="B211" s="43" t="s">
        <v>341</v>
      </c>
      <c r="C211" s="48" t="s">
        <v>27</v>
      </c>
      <c r="D211" s="126" t="s">
        <v>1019</v>
      </c>
      <c r="E211" s="48" t="s">
        <v>99</v>
      </c>
      <c r="F211" s="126" t="s">
        <v>1019</v>
      </c>
      <c r="G211" s="48" t="s">
        <v>201</v>
      </c>
      <c r="H211" s="163"/>
      <c r="I211" s="48" t="s">
        <v>99</v>
      </c>
      <c r="J211" s="126" t="s">
        <v>1019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2"/>
        <v>FALSE</v>
      </c>
      <c r="Q211" s="49"/>
      <c r="R211" s="90"/>
      <c r="S211" s="90"/>
      <c r="T211" s="90"/>
    </row>
    <row r="212" spans="1:20" customFormat="1">
      <c r="A212" s="43" t="s">
        <v>429</v>
      </c>
      <c r="B212" s="43" t="s">
        <v>416</v>
      </c>
      <c r="C212" s="48" t="s">
        <v>413</v>
      </c>
      <c r="D212" s="126" t="s">
        <v>1019</v>
      </c>
      <c r="E212" s="48" t="s">
        <v>415</v>
      </c>
      <c r="F212" s="126" t="s">
        <v>1019</v>
      </c>
      <c r="G212" s="48" t="s">
        <v>15</v>
      </c>
      <c r="H212" s="163"/>
      <c r="I212" s="48" t="s">
        <v>415</v>
      </c>
      <c r="J212" s="126" t="s">
        <v>1019</v>
      </c>
      <c r="K212" s="48" t="s">
        <v>15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/>
      <c r="S212" s="90"/>
      <c r="T212" s="90"/>
    </row>
    <row r="213" spans="1:20" customFormat="1">
      <c r="A213" s="43" t="s">
        <v>1040</v>
      </c>
      <c r="B213" s="43" t="s">
        <v>1042</v>
      </c>
      <c r="C213" s="48" t="s">
        <v>413</v>
      </c>
      <c r="D213" s="126" t="s">
        <v>1019</v>
      </c>
      <c r="E213" s="48" t="s">
        <v>1041</v>
      </c>
      <c r="F213" s="126" t="s">
        <v>1019</v>
      </c>
      <c r="G213" s="48" t="s">
        <v>15</v>
      </c>
      <c r="H213" s="163"/>
      <c r="I213" s="48" t="s">
        <v>1041</v>
      </c>
      <c r="J213" s="126" t="s">
        <v>1019</v>
      </c>
      <c r="K213" s="48" t="s">
        <v>15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/>
      <c r="S213" s="90"/>
      <c r="T213" s="90"/>
    </row>
    <row r="214" spans="1:20" customFormat="1">
      <c r="A214" s="43" t="s">
        <v>430</v>
      </c>
      <c r="B214" s="43" t="s">
        <v>416</v>
      </c>
      <c r="C214" s="48" t="s">
        <v>415</v>
      </c>
      <c r="D214" s="126" t="s">
        <v>1019</v>
      </c>
      <c r="E214" s="48" t="s">
        <v>402</v>
      </c>
      <c r="F214" s="126" t="s">
        <v>1019</v>
      </c>
      <c r="G214" s="48" t="s">
        <v>15</v>
      </c>
      <c r="H214" s="163"/>
      <c r="I214" s="48" t="s">
        <v>415</v>
      </c>
      <c r="J214" s="126" t="s">
        <v>1019</v>
      </c>
      <c r="K214" s="48" t="s">
        <v>15</v>
      </c>
      <c r="L214" s="163"/>
      <c r="M214" s="85" t="s">
        <v>293</v>
      </c>
      <c r="N214" s="83" t="s">
        <v>380</v>
      </c>
      <c r="O214" s="35" t="s">
        <v>182</v>
      </c>
      <c r="P214" s="84" t="str">
        <f t="shared" si="12"/>
        <v>FALSE</v>
      </c>
      <c r="Q214" s="49"/>
      <c r="R214" s="90"/>
      <c r="S214" s="90"/>
      <c r="T214" s="90"/>
    </row>
    <row r="215" spans="1:20" customFormat="1">
      <c r="A215" s="43" t="s">
        <v>430</v>
      </c>
      <c r="B215" s="43" t="s">
        <v>401</v>
      </c>
      <c r="C215" s="48" t="s">
        <v>415</v>
      </c>
      <c r="D215" s="126" t="s">
        <v>1019</v>
      </c>
      <c r="E215" s="48" t="s">
        <v>402</v>
      </c>
      <c r="F215" s="126" t="s">
        <v>1019</v>
      </c>
      <c r="G215" s="48" t="s">
        <v>15</v>
      </c>
      <c r="H215" s="163"/>
      <c r="I215" s="48" t="s">
        <v>402</v>
      </c>
      <c r="J215" s="126" t="s">
        <v>1019</v>
      </c>
      <c r="K215" s="48" t="s">
        <v>15</v>
      </c>
      <c r="L215" s="163"/>
      <c r="M215" s="85" t="s">
        <v>293</v>
      </c>
      <c r="N215" s="83" t="s">
        <v>380</v>
      </c>
      <c r="O215" s="35" t="s">
        <v>182</v>
      </c>
      <c r="P215" s="84" t="str">
        <f t="shared" si="12"/>
        <v>FALSE</v>
      </c>
      <c r="Q215" s="49"/>
      <c r="R215" s="90"/>
      <c r="S215" s="90"/>
      <c r="T215" s="90"/>
    </row>
    <row r="216" spans="1:20" s="389" customFormat="1">
      <c r="A216" s="43" t="s">
        <v>1679</v>
      </c>
      <c r="B216" s="43" t="s">
        <v>416</v>
      </c>
      <c r="C216" s="48" t="s">
        <v>415</v>
      </c>
      <c r="D216" s="126" t="s">
        <v>1019</v>
      </c>
      <c r="E216" s="48" t="s">
        <v>1028</v>
      </c>
      <c r="F216" s="126" t="s">
        <v>1019</v>
      </c>
      <c r="G216" s="48" t="s">
        <v>15</v>
      </c>
      <c r="H216" s="163"/>
      <c r="I216" s="48" t="s">
        <v>415</v>
      </c>
      <c r="J216" s="126" t="s">
        <v>1019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ref="P216:P217" si="18">N216</f>
        <v>FALSE</v>
      </c>
      <c r="Q216" s="49"/>
      <c r="R216" s="90"/>
      <c r="S216" s="90"/>
      <c r="T216" s="90"/>
    </row>
    <row r="217" spans="1:20" s="389" customFormat="1">
      <c r="A217" s="43" t="s">
        <v>1679</v>
      </c>
      <c r="B217" s="43" t="s">
        <v>1680</v>
      </c>
      <c r="C217" s="48" t="s">
        <v>415</v>
      </c>
      <c r="D217" s="126" t="s">
        <v>1019</v>
      </c>
      <c r="E217" s="48" t="s">
        <v>1028</v>
      </c>
      <c r="F217" s="126" t="s">
        <v>1019</v>
      </c>
      <c r="G217" s="48" t="s">
        <v>15</v>
      </c>
      <c r="H217" s="163"/>
      <c r="I217" s="48" t="s">
        <v>1028</v>
      </c>
      <c r="J217" s="126" t="s">
        <v>1019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8"/>
        <v>FALSE</v>
      </c>
      <c r="Q217" s="49"/>
      <c r="R217" s="90"/>
      <c r="S217" s="90"/>
      <c r="T217" s="90"/>
    </row>
    <row r="218" spans="1:20" s="36" customFormat="1">
      <c r="A218" s="43" t="s">
        <v>1168</v>
      </c>
      <c r="B218" s="43" t="s">
        <v>185</v>
      </c>
      <c r="C218" s="48" t="s">
        <v>97</v>
      </c>
      <c r="D218" s="126" t="s">
        <v>1019</v>
      </c>
      <c r="E218" s="48" t="s">
        <v>203</v>
      </c>
      <c r="F218" s="126" t="s">
        <v>1019</v>
      </c>
      <c r="G218" s="48" t="s">
        <v>201</v>
      </c>
      <c r="H218" s="163"/>
      <c r="I218" s="48" t="s">
        <v>204</v>
      </c>
      <c r="J218" s="126" t="s">
        <v>1019</v>
      </c>
      <c r="K218" s="48" t="s">
        <v>205</v>
      </c>
      <c r="L218" s="163"/>
      <c r="M218" s="54" t="s">
        <v>293</v>
      </c>
      <c r="N218" s="83" t="s">
        <v>1670</v>
      </c>
      <c r="O218" s="35" t="s">
        <v>182</v>
      </c>
      <c r="P218" s="84" t="str">
        <f t="shared" si="12"/>
        <v>TRUE</v>
      </c>
      <c r="Q218" s="49"/>
      <c r="R218" s="90" t="s">
        <v>1671</v>
      </c>
      <c r="S218" s="90" t="s">
        <v>1759</v>
      </c>
      <c r="T218" s="90"/>
    </row>
    <row r="219" spans="1:20" s="36" customFormat="1">
      <c r="A219" s="43" t="s">
        <v>184</v>
      </c>
      <c r="B219" s="43" t="s">
        <v>186</v>
      </c>
      <c r="C219" s="48" t="s">
        <v>97</v>
      </c>
      <c r="D219" s="126" t="s">
        <v>1019</v>
      </c>
      <c r="E219" s="48" t="s">
        <v>206</v>
      </c>
      <c r="F219" s="126" t="s">
        <v>1019</v>
      </c>
      <c r="G219" s="48" t="s">
        <v>205</v>
      </c>
      <c r="H219" s="163"/>
      <c r="I219" s="48" t="s">
        <v>206</v>
      </c>
      <c r="J219" s="126" t="s">
        <v>1019</v>
      </c>
      <c r="K219" s="48" t="s">
        <v>205</v>
      </c>
      <c r="L219" s="163"/>
      <c r="M219" s="54" t="s">
        <v>293</v>
      </c>
      <c r="N219" s="83" t="s">
        <v>1670</v>
      </c>
      <c r="O219" s="35" t="s">
        <v>182</v>
      </c>
      <c r="P219" s="84" t="str">
        <f t="shared" si="12"/>
        <v>TRUE</v>
      </c>
      <c r="Q219" s="49"/>
      <c r="R219" s="90" t="s">
        <v>1671</v>
      </c>
      <c r="S219" s="90" t="s">
        <v>1759</v>
      </c>
      <c r="T219" s="90"/>
    </row>
    <row r="220" spans="1:20" s="36" customFormat="1">
      <c r="A220" s="43" t="s">
        <v>396</v>
      </c>
      <c r="B220" s="43" t="s">
        <v>189</v>
      </c>
      <c r="C220" s="48" t="s">
        <v>24</v>
      </c>
      <c r="D220" s="126" t="s">
        <v>1019</v>
      </c>
      <c r="E220" s="48" t="s">
        <v>203</v>
      </c>
      <c r="F220" s="126" t="s">
        <v>1019</v>
      </c>
      <c r="G220" s="48" t="s">
        <v>201</v>
      </c>
      <c r="H220" s="163"/>
      <c r="I220" s="48" t="s">
        <v>24</v>
      </c>
      <c r="J220" s="126" t="s">
        <v>1019</v>
      </c>
      <c r="K220" s="48" t="s">
        <v>205</v>
      </c>
      <c r="L220" s="163"/>
      <c r="M220" s="85" t="s">
        <v>293</v>
      </c>
      <c r="N220" s="83" t="s">
        <v>380</v>
      </c>
      <c r="O220" s="35" t="s">
        <v>182</v>
      </c>
      <c r="P220" s="84" t="str">
        <f t="shared" si="12"/>
        <v>FALSE</v>
      </c>
      <c r="Q220" s="49"/>
      <c r="R220" s="90"/>
      <c r="S220" s="90"/>
      <c r="T220" s="90"/>
    </row>
    <row r="221" spans="1:20" s="36" customFormat="1">
      <c r="A221" s="43" t="s">
        <v>396</v>
      </c>
      <c r="B221" s="43" t="s">
        <v>186</v>
      </c>
      <c r="C221" s="48" t="s">
        <v>1651</v>
      </c>
      <c r="D221" s="126" t="s">
        <v>1019</v>
      </c>
      <c r="E221" s="48" t="s">
        <v>206</v>
      </c>
      <c r="F221" s="126" t="s">
        <v>1019</v>
      </c>
      <c r="G221" s="48" t="s">
        <v>205</v>
      </c>
      <c r="H221" s="163"/>
      <c r="I221" s="48" t="s">
        <v>206</v>
      </c>
      <c r="J221" s="126" t="s">
        <v>1019</v>
      </c>
      <c r="K221" s="48" t="s">
        <v>205</v>
      </c>
      <c r="L221" s="163"/>
      <c r="M221" s="85" t="s">
        <v>293</v>
      </c>
      <c r="N221" s="83" t="s">
        <v>380</v>
      </c>
      <c r="O221" s="35" t="s">
        <v>182</v>
      </c>
      <c r="P221" s="84" t="str">
        <f t="shared" si="12"/>
        <v>FALSE</v>
      </c>
      <c r="Q221" s="49"/>
      <c r="R221" s="90"/>
      <c r="S221" s="90"/>
      <c r="T221" s="90"/>
    </row>
    <row r="222" spans="1:20" s="36" customFormat="1">
      <c r="A222" s="43" t="s">
        <v>388</v>
      </c>
      <c r="B222" s="43" t="s">
        <v>189</v>
      </c>
      <c r="C222" s="48" t="s">
        <v>24</v>
      </c>
      <c r="D222" s="126" t="s">
        <v>1019</v>
      </c>
      <c r="E222" s="48" t="s">
        <v>99</v>
      </c>
      <c r="F222" s="126" t="s">
        <v>1019</v>
      </c>
      <c r="G222" s="48" t="s">
        <v>201</v>
      </c>
      <c r="H222" s="163"/>
      <c r="I222" s="48" t="s">
        <v>24</v>
      </c>
      <c r="J222" s="126" t="s">
        <v>1019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388</v>
      </c>
      <c r="B223" s="43" t="s">
        <v>341</v>
      </c>
      <c r="C223" s="48" t="s">
        <v>24</v>
      </c>
      <c r="D223" s="126" t="s">
        <v>1019</v>
      </c>
      <c r="E223" s="48" t="s">
        <v>99</v>
      </c>
      <c r="F223" s="126" t="s">
        <v>1019</v>
      </c>
      <c r="G223" s="48" t="s">
        <v>205</v>
      </c>
      <c r="H223" s="163"/>
      <c r="I223" s="48" t="s">
        <v>99</v>
      </c>
      <c r="J223" s="126" t="s">
        <v>1019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455</v>
      </c>
      <c r="B224" s="43" t="s">
        <v>186</v>
      </c>
      <c r="C224" s="48" t="s">
        <v>98</v>
      </c>
      <c r="D224" s="126" t="s">
        <v>1019</v>
      </c>
      <c r="E224" s="48" t="s">
        <v>99</v>
      </c>
      <c r="F224" s="126" t="s">
        <v>1019</v>
      </c>
      <c r="G224" s="48" t="s">
        <v>15</v>
      </c>
      <c r="H224" s="163"/>
      <c r="I224" s="48" t="s">
        <v>98</v>
      </c>
      <c r="J224" s="126" t="s">
        <v>1019</v>
      </c>
      <c r="K224" s="48" t="s">
        <v>15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455</v>
      </c>
      <c r="B225" s="43" t="s">
        <v>341</v>
      </c>
      <c r="C225" s="48" t="s">
        <v>98</v>
      </c>
      <c r="D225" s="126" t="s">
        <v>1019</v>
      </c>
      <c r="E225" s="48" t="s">
        <v>99</v>
      </c>
      <c r="F225" s="126" t="s">
        <v>1019</v>
      </c>
      <c r="G225" s="48" t="s">
        <v>15</v>
      </c>
      <c r="H225" s="163"/>
      <c r="I225" s="48" t="s">
        <v>99</v>
      </c>
      <c r="J225" s="126" t="s">
        <v>1019</v>
      </c>
      <c r="K225" s="48" t="s">
        <v>15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129" customFormat="1">
      <c r="A226" s="43" t="s">
        <v>1043</v>
      </c>
      <c r="B226" s="43" t="s">
        <v>1042</v>
      </c>
      <c r="C226" s="48" t="s">
        <v>1041</v>
      </c>
      <c r="D226" s="126" t="s">
        <v>1019</v>
      </c>
      <c r="E226" s="48" t="s">
        <v>1031</v>
      </c>
      <c r="F226" s="126" t="s">
        <v>1019</v>
      </c>
      <c r="G226" s="48" t="s">
        <v>15</v>
      </c>
      <c r="H226" s="163"/>
      <c r="I226" s="48" t="s">
        <v>1041</v>
      </c>
      <c r="J226" s="126" t="s">
        <v>1019</v>
      </c>
      <c r="K226" s="48" t="s">
        <v>15</v>
      </c>
      <c r="L226" s="163"/>
      <c r="M226" s="85" t="s">
        <v>1672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129" customFormat="1">
      <c r="A227" s="43" t="s">
        <v>1043</v>
      </c>
      <c r="B227" s="43" t="s">
        <v>1032</v>
      </c>
      <c r="C227" s="48" t="s">
        <v>1041</v>
      </c>
      <c r="D227" s="126" t="s">
        <v>1019</v>
      </c>
      <c r="E227" s="48" t="s">
        <v>1031</v>
      </c>
      <c r="F227" s="126" t="s">
        <v>1019</v>
      </c>
      <c r="G227" s="48" t="s">
        <v>15</v>
      </c>
      <c r="H227" s="163"/>
      <c r="I227" s="48" t="s">
        <v>1031</v>
      </c>
      <c r="J227" s="126" t="s">
        <v>1019</v>
      </c>
      <c r="K227" s="48" t="s">
        <v>15</v>
      </c>
      <c r="L227" s="163"/>
      <c r="M227" s="85" t="s">
        <v>1672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36" customFormat="1">
      <c r="A228" s="68" t="s">
        <v>249</v>
      </c>
      <c r="B228" s="68" t="s">
        <v>249</v>
      </c>
      <c r="C228" s="80" t="s">
        <v>249</v>
      </c>
      <c r="D228" s="61"/>
      <c r="E228" s="62"/>
      <c r="F228" s="62"/>
      <c r="G228" s="62"/>
      <c r="H228" s="62"/>
      <c r="I228" s="62"/>
      <c r="J228" s="62"/>
      <c r="K228" s="62"/>
      <c r="L228" s="63"/>
      <c r="M228" s="63"/>
      <c r="N228" s="63"/>
      <c r="O228" s="64"/>
      <c r="P228" s="65"/>
      <c r="Q228" s="65"/>
    </row>
    <row r="229" spans="1:20" s="36" customFormat="1">
      <c r="A229" s="69"/>
      <c r="B229" s="69"/>
      <c r="C229" s="62"/>
      <c r="D229" s="41"/>
      <c r="E229" s="41"/>
      <c r="F229" s="41"/>
      <c r="G229" s="41"/>
      <c r="H229" s="41"/>
      <c r="I229" s="41"/>
      <c r="J229" s="41"/>
      <c r="K229" s="41"/>
      <c r="L229" s="31"/>
      <c r="M229" s="31"/>
      <c r="N229" s="31"/>
      <c r="O229" s="72"/>
      <c r="P229" s="73"/>
      <c r="Q229" s="73"/>
    </row>
    <row r="230" spans="1:20" s="36" customFormat="1" ht="24" customHeight="1">
      <c r="A230" s="52"/>
      <c r="B230" s="52"/>
      <c r="C230" s="41"/>
      <c r="D230" s="31"/>
      <c r="E230" s="41"/>
      <c r="F230" s="31"/>
      <c r="G230" s="41"/>
      <c r="H230" s="31"/>
      <c r="I230" s="41"/>
      <c r="J230" s="41"/>
      <c r="K230" s="41"/>
      <c r="L230" s="31"/>
      <c r="M230" s="31"/>
      <c r="N230" s="31"/>
      <c r="O230" s="74"/>
      <c r="P230" s="73"/>
      <c r="Q230" s="73"/>
    </row>
    <row r="231" spans="1:20" ht="23.25" customHeight="1">
      <c r="A231" s="75"/>
      <c r="B231" s="75"/>
      <c r="C231" s="76"/>
      <c r="D231" s="77"/>
      <c r="E231" s="56"/>
      <c r="F231" s="77"/>
      <c r="G231" s="56"/>
      <c r="H231" s="77"/>
      <c r="I231" s="56"/>
      <c r="J231" s="56"/>
      <c r="K231" s="56"/>
      <c r="L231" s="77"/>
      <c r="M231" s="77"/>
      <c r="N231" s="77"/>
      <c r="O231" s="78"/>
      <c r="P231" s="79"/>
      <c r="Q231" s="79"/>
    </row>
    <row r="232" spans="1:20">
      <c r="A232" s="430" t="s">
        <v>357</v>
      </c>
      <c r="B232" s="431"/>
      <c r="C232" s="427" t="s">
        <v>241</v>
      </c>
      <c r="D232" s="428"/>
      <c r="E232" s="428"/>
      <c r="F232" s="428"/>
      <c r="G232" s="428"/>
      <c r="H232" s="429"/>
      <c r="I232" s="427" t="s">
        <v>242</v>
      </c>
      <c r="J232" s="428"/>
      <c r="K232" s="428"/>
      <c r="L232" s="428"/>
      <c r="M232" s="429"/>
      <c r="N232" s="70" t="s">
        <v>243</v>
      </c>
      <c r="O232" s="70" t="s">
        <v>244</v>
      </c>
      <c r="P232" s="71" t="s">
        <v>243</v>
      </c>
      <c r="Q232" s="100" t="s">
        <v>661</v>
      </c>
      <c r="R232" s="101" t="s">
        <v>624</v>
      </c>
      <c r="S232" s="101" t="s">
        <v>911</v>
      </c>
      <c r="T232" s="101" t="s">
        <v>1330</v>
      </c>
    </row>
    <row r="233" spans="1:20" s="36" customFormat="1">
      <c r="A233" s="51" t="s">
        <v>231</v>
      </c>
      <c r="B233" s="51" t="s">
        <v>232</v>
      </c>
      <c r="C233" s="23" t="s">
        <v>191</v>
      </c>
      <c r="D233" s="23" t="s">
        <v>192</v>
      </c>
      <c r="E233" s="23" t="s">
        <v>178</v>
      </c>
      <c r="F233" s="23" t="s">
        <v>193</v>
      </c>
      <c r="G233" s="23" t="s">
        <v>179</v>
      </c>
      <c r="H233" s="23" t="s">
        <v>194</v>
      </c>
      <c r="I233" s="23" t="s">
        <v>195</v>
      </c>
      <c r="J233" s="23" t="s">
        <v>196</v>
      </c>
      <c r="K233" s="23" t="s">
        <v>197</v>
      </c>
      <c r="L233" s="23" t="s">
        <v>198</v>
      </c>
      <c r="M233" s="23" t="s">
        <v>358</v>
      </c>
      <c r="N233" s="33" t="s">
        <v>248</v>
      </c>
      <c r="O233" s="33" t="s">
        <v>250</v>
      </c>
      <c r="P233" s="34" t="s">
        <v>247</v>
      </c>
      <c r="Q233" s="102" t="s">
        <v>240</v>
      </c>
      <c r="R233" s="102" t="s">
        <v>1166</v>
      </c>
      <c r="S233" s="102" t="s">
        <v>1167</v>
      </c>
      <c r="T233" s="102" t="s">
        <v>1489</v>
      </c>
    </row>
    <row r="234" spans="1:20" s="36" customFormat="1">
      <c r="A234" s="68" t="s">
        <v>249</v>
      </c>
      <c r="B234" s="68" t="s">
        <v>249</v>
      </c>
      <c r="C234" s="68" t="s">
        <v>249</v>
      </c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</row>
    <row r="235" spans="1:20" s="36" customFormat="1">
      <c r="A235" s="69"/>
      <c r="B235" s="69"/>
      <c r="C235" s="69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</row>
    <row r="236" spans="1:20" ht="21.75" customHeight="1">
      <c r="A236" s="55"/>
      <c r="B236" s="55"/>
      <c r="C236" s="56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76"/>
      <c r="Q236" s="76"/>
    </row>
    <row r="237" spans="1:20">
      <c r="A237" s="430" t="s">
        <v>245</v>
      </c>
      <c r="B237" s="431"/>
      <c r="C237" s="427" t="s">
        <v>241</v>
      </c>
      <c r="D237" s="428"/>
      <c r="E237" s="428"/>
      <c r="F237" s="428"/>
      <c r="G237" s="428"/>
      <c r="H237" s="429"/>
      <c r="I237" s="427" t="s">
        <v>242</v>
      </c>
      <c r="J237" s="428"/>
      <c r="K237" s="428"/>
      <c r="L237" s="428"/>
      <c r="M237" s="429"/>
      <c r="N237" s="70" t="s">
        <v>243</v>
      </c>
      <c r="O237" s="70" t="s">
        <v>244</v>
      </c>
      <c r="P237" s="71" t="s">
        <v>243</v>
      </c>
      <c r="Q237" s="100" t="s">
        <v>1169</v>
      </c>
      <c r="R237" s="101" t="s">
        <v>624</v>
      </c>
      <c r="S237" s="101" t="s">
        <v>911</v>
      </c>
      <c r="T237" s="101" t="s">
        <v>1330</v>
      </c>
    </row>
    <row r="238" spans="1:20" s="36" customFormat="1">
      <c r="A238" s="51" t="s">
        <v>231</v>
      </c>
      <c r="B238" s="51" t="s">
        <v>232</v>
      </c>
      <c r="C238" s="23" t="s">
        <v>191</v>
      </c>
      <c r="D238" s="23" t="s">
        <v>1020</v>
      </c>
      <c r="E238" s="23" t="s">
        <v>178</v>
      </c>
      <c r="F238" s="23" t="s">
        <v>1021</v>
      </c>
      <c r="G238" s="23" t="s">
        <v>179</v>
      </c>
      <c r="H238" s="23" t="s">
        <v>684</v>
      </c>
      <c r="I238" s="23" t="s">
        <v>195</v>
      </c>
      <c r="J238" s="23" t="s">
        <v>685</v>
      </c>
      <c r="K238" s="23" t="s">
        <v>197</v>
      </c>
      <c r="L238" s="23" t="s">
        <v>686</v>
      </c>
      <c r="M238" s="23" t="s">
        <v>358</v>
      </c>
      <c r="N238" s="33" t="s">
        <v>248</v>
      </c>
      <c r="O238" s="33" t="s">
        <v>250</v>
      </c>
      <c r="P238" s="34" t="s">
        <v>247</v>
      </c>
      <c r="Q238" s="102" t="s">
        <v>240</v>
      </c>
      <c r="R238" s="102" t="s">
        <v>1166</v>
      </c>
      <c r="S238" s="102" t="s">
        <v>1167</v>
      </c>
      <c r="T238" s="102" t="s">
        <v>1489</v>
      </c>
    </row>
    <row r="239" spans="1:20" s="36" customFormat="1">
      <c r="A239" s="43" t="s">
        <v>394</v>
      </c>
      <c r="B239" s="43" t="s">
        <v>181</v>
      </c>
      <c r="C239" s="48" t="s">
        <v>10</v>
      </c>
      <c r="D239" s="163"/>
      <c r="E239" s="48" t="s">
        <v>10</v>
      </c>
      <c r="F239" s="163"/>
      <c r="G239" s="48" t="s">
        <v>205</v>
      </c>
      <c r="H239" s="163"/>
      <c r="I239" s="48" t="s">
        <v>10</v>
      </c>
      <c r="J239" s="163"/>
      <c r="K239" s="48" t="s">
        <v>205</v>
      </c>
      <c r="L239" s="163"/>
      <c r="M239" s="86" t="s">
        <v>1672</v>
      </c>
      <c r="N239" s="83" t="s">
        <v>380</v>
      </c>
      <c r="O239" s="35" t="s">
        <v>182</v>
      </c>
      <c r="P239" s="84" t="str">
        <f t="shared" ref="P239" si="19">N239</f>
        <v>FALSE</v>
      </c>
      <c r="Q239" s="49"/>
      <c r="R239" s="90"/>
      <c r="S239" s="90"/>
      <c r="T239" s="90"/>
    </row>
    <row r="240" spans="1:20" customFormat="1">
      <c r="A240" s="43" t="s">
        <v>342</v>
      </c>
      <c r="B240" s="43" t="s">
        <v>310</v>
      </c>
      <c r="C240" s="48" t="s">
        <v>84</v>
      </c>
      <c r="D240" s="163"/>
      <c r="E240" s="48" t="s">
        <v>84</v>
      </c>
      <c r="F240" s="163"/>
      <c r="G240" s="48" t="s">
        <v>201</v>
      </c>
      <c r="H240" s="163"/>
      <c r="I240" s="48" t="s">
        <v>84</v>
      </c>
      <c r="J240" s="163"/>
      <c r="K240" s="48" t="s">
        <v>201</v>
      </c>
      <c r="L240" s="163"/>
      <c r="M240" s="86" t="s">
        <v>293</v>
      </c>
      <c r="N240" s="83" t="s">
        <v>380</v>
      </c>
      <c r="O240" s="35" t="s">
        <v>182</v>
      </c>
      <c r="P240" s="84" t="str">
        <f>N240</f>
        <v>FALSE</v>
      </c>
      <c r="Q240" s="49"/>
      <c r="R240" s="90"/>
      <c r="S240" s="90"/>
      <c r="T240" s="90"/>
    </row>
    <row r="241" spans="1:20" s="36" customFormat="1">
      <c r="A241" s="43" t="s">
        <v>187</v>
      </c>
      <c r="B241" s="43" t="s">
        <v>183</v>
      </c>
      <c r="C241" s="48" t="s">
        <v>207</v>
      </c>
      <c r="D241" s="163"/>
      <c r="E241" s="48" t="s">
        <v>207</v>
      </c>
      <c r="F241" s="163"/>
      <c r="G241" s="48" t="s">
        <v>205</v>
      </c>
      <c r="H241" s="163"/>
      <c r="I241" s="48" t="s">
        <v>207</v>
      </c>
      <c r="J241" s="163"/>
      <c r="K241" s="48" t="s">
        <v>205</v>
      </c>
      <c r="L241" s="163"/>
      <c r="M241" s="27" t="s">
        <v>331</v>
      </c>
      <c r="N241" s="83" t="s">
        <v>1670</v>
      </c>
      <c r="O241" s="35" t="s">
        <v>182</v>
      </c>
      <c r="P241" s="84" t="str">
        <f t="shared" ref="P241:P251" si="20">N241</f>
        <v>TRUE</v>
      </c>
      <c r="Q241" s="49"/>
      <c r="R241" s="90" t="s">
        <v>1671</v>
      </c>
      <c r="S241" s="90" t="s">
        <v>1759</v>
      </c>
      <c r="T241" s="90"/>
    </row>
    <row r="242" spans="1:20" customFormat="1">
      <c r="A242" s="43" t="s">
        <v>339</v>
      </c>
      <c r="B242" s="43" t="s">
        <v>329</v>
      </c>
      <c r="C242" s="48" t="s">
        <v>86</v>
      </c>
      <c r="D242" s="163"/>
      <c r="E242" s="48" t="s">
        <v>86</v>
      </c>
      <c r="F242" s="163"/>
      <c r="G242" s="48" t="s">
        <v>201</v>
      </c>
      <c r="H242" s="163"/>
      <c r="I242" s="48" t="s">
        <v>86</v>
      </c>
      <c r="J242" s="163"/>
      <c r="K242" s="48" t="s">
        <v>201</v>
      </c>
      <c r="L242" s="163"/>
      <c r="M242" s="86" t="s">
        <v>292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395</v>
      </c>
      <c r="B243" s="43" t="s">
        <v>305</v>
      </c>
      <c r="C243" s="48" t="s">
        <v>87</v>
      </c>
      <c r="D243" s="163"/>
      <c r="E243" s="48" t="s">
        <v>87</v>
      </c>
      <c r="F243" s="163"/>
      <c r="G243" s="48" t="s">
        <v>205</v>
      </c>
      <c r="H243" s="163"/>
      <c r="I243" s="48" t="s">
        <v>87</v>
      </c>
      <c r="J243" s="163"/>
      <c r="K243" s="48" t="s">
        <v>205</v>
      </c>
      <c r="L243" s="163"/>
      <c r="M243" s="27" t="s">
        <v>292</v>
      </c>
      <c r="N243" s="83" t="s">
        <v>1670</v>
      </c>
      <c r="O243" s="35" t="s">
        <v>182</v>
      </c>
      <c r="P243" s="84" t="str">
        <f t="shared" ref="P243" si="21">N243</f>
        <v>TRUE</v>
      </c>
      <c r="Q243" s="49"/>
      <c r="R243" s="90" t="s">
        <v>1671</v>
      </c>
      <c r="S243" s="90" t="s">
        <v>1759</v>
      </c>
      <c r="T243" s="90"/>
    </row>
    <row r="244" spans="1:20" s="36" customFormat="1">
      <c r="A244" s="43" t="s">
        <v>297</v>
      </c>
      <c r="B244" s="43" t="s">
        <v>296</v>
      </c>
      <c r="C244" s="48" t="s">
        <v>88</v>
      </c>
      <c r="D244" s="163"/>
      <c r="E244" s="48" t="s">
        <v>88</v>
      </c>
      <c r="F244" s="163"/>
      <c r="G244" s="48" t="s">
        <v>201</v>
      </c>
      <c r="H244" s="163"/>
      <c r="I244" s="48" t="s">
        <v>88</v>
      </c>
      <c r="J244" s="163"/>
      <c r="K244" s="48" t="s">
        <v>201</v>
      </c>
      <c r="L244" s="163"/>
      <c r="M244" s="27" t="s">
        <v>332</v>
      </c>
      <c r="N244" s="83" t="s">
        <v>1670</v>
      </c>
      <c r="O244" s="35" t="s">
        <v>182</v>
      </c>
      <c r="P244" s="84" t="str">
        <f t="shared" si="20"/>
        <v>TRUE</v>
      </c>
      <c r="Q244" s="49"/>
      <c r="R244" s="90" t="s">
        <v>1671</v>
      </c>
      <c r="S244" s="90" t="s">
        <v>1759</v>
      </c>
      <c r="T244" s="90"/>
    </row>
    <row r="245" spans="1:20" s="130" customFormat="1">
      <c r="A245" s="43" t="s">
        <v>1072</v>
      </c>
      <c r="B245" s="43" t="s">
        <v>1073</v>
      </c>
      <c r="C245" s="48" t="s">
        <v>1074</v>
      </c>
      <c r="D245" s="163"/>
      <c r="E245" s="48" t="s">
        <v>1074</v>
      </c>
      <c r="F245" s="163"/>
      <c r="G245" s="48" t="s">
        <v>201</v>
      </c>
      <c r="H245" s="163"/>
      <c r="I245" s="48" t="s">
        <v>1074</v>
      </c>
      <c r="J245" s="163"/>
      <c r="K245" s="48" t="s">
        <v>201</v>
      </c>
      <c r="L245" s="163"/>
      <c r="M245" s="27" t="s">
        <v>293</v>
      </c>
      <c r="N245" s="83" t="s">
        <v>380</v>
      </c>
      <c r="O245" s="35" t="s">
        <v>182</v>
      </c>
      <c r="P245" s="84" t="str">
        <f t="shared" si="20"/>
        <v>FALSE</v>
      </c>
      <c r="Q245" s="49"/>
      <c r="R245" s="90"/>
      <c r="S245" s="90"/>
      <c r="T245" s="90"/>
    </row>
    <row r="246" spans="1:20" s="36" customFormat="1">
      <c r="A246" s="43" t="s">
        <v>397</v>
      </c>
      <c r="B246" s="43" t="s">
        <v>398</v>
      </c>
      <c r="C246" s="48" t="s">
        <v>399</v>
      </c>
      <c r="D246" s="163"/>
      <c r="E246" s="48" t="s">
        <v>399</v>
      </c>
      <c r="F246" s="163"/>
      <c r="G246" s="48" t="s">
        <v>205</v>
      </c>
      <c r="H246" s="163"/>
      <c r="I246" s="48" t="s">
        <v>399</v>
      </c>
      <c r="J246" s="163"/>
      <c r="K246" s="48" t="s">
        <v>205</v>
      </c>
      <c r="L246" s="163"/>
      <c r="M246" s="86" t="s">
        <v>292</v>
      </c>
      <c r="N246" s="83" t="s">
        <v>380</v>
      </c>
      <c r="O246" s="35" t="s">
        <v>182</v>
      </c>
      <c r="P246" s="84" t="str">
        <f t="shared" si="20"/>
        <v>FALSE</v>
      </c>
      <c r="Q246" s="49"/>
      <c r="R246" s="90"/>
      <c r="S246" s="90"/>
      <c r="T246" s="90"/>
    </row>
    <row r="247" spans="1:20" s="36" customFormat="1">
      <c r="A247" s="43" t="s">
        <v>1768</v>
      </c>
      <c r="B247" s="43" t="s">
        <v>301</v>
      </c>
      <c r="C247" s="48" t="s">
        <v>93</v>
      </c>
      <c r="D247" s="163"/>
      <c r="E247" s="48" t="s">
        <v>93</v>
      </c>
      <c r="F247" s="163"/>
      <c r="G247" s="48" t="s">
        <v>205</v>
      </c>
      <c r="H247" s="163"/>
      <c r="I247" s="48" t="s">
        <v>93</v>
      </c>
      <c r="J247" s="163"/>
      <c r="K247" s="48" t="s">
        <v>205</v>
      </c>
      <c r="L247" s="163"/>
      <c r="M247" s="86" t="s">
        <v>293</v>
      </c>
      <c r="N247" s="83" t="s">
        <v>380</v>
      </c>
      <c r="O247" s="35" t="s">
        <v>182</v>
      </c>
      <c r="P247" s="84" t="str">
        <f t="shared" si="20"/>
        <v>FALSE</v>
      </c>
      <c r="Q247" s="49"/>
      <c r="R247" s="90"/>
      <c r="S247" s="90"/>
      <c r="T247" s="90"/>
    </row>
    <row r="248" spans="1:20" s="36" customFormat="1">
      <c r="A248" s="43" t="s">
        <v>431</v>
      </c>
      <c r="B248" s="43" t="s">
        <v>303</v>
      </c>
      <c r="C248" s="48" t="s">
        <v>27</v>
      </c>
      <c r="D248" s="163"/>
      <c r="E248" s="48" t="s">
        <v>27</v>
      </c>
      <c r="F248" s="163"/>
      <c r="G248" s="48" t="s">
        <v>205</v>
      </c>
      <c r="H248" s="163"/>
      <c r="I248" s="48" t="s">
        <v>27</v>
      </c>
      <c r="J248" s="163"/>
      <c r="K248" s="48" t="s">
        <v>205</v>
      </c>
      <c r="L248" s="163"/>
      <c r="M248" s="86" t="s">
        <v>1672</v>
      </c>
      <c r="N248" s="83" t="s">
        <v>380</v>
      </c>
      <c r="O248" s="35" t="s">
        <v>182</v>
      </c>
      <c r="P248" s="84" t="str">
        <f t="shared" ref="P248" si="22">N248</f>
        <v>FALSE</v>
      </c>
      <c r="Q248" s="49"/>
      <c r="R248" s="90"/>
      <c r="S248" s="90"/>
      <c r="T248" s="90"/>
    </row>
    <row r="249" spans="1:20" s="36" customFormat="1">
      <c r="A249" s="43" t="s">
        <v>188</v>
      </c>
      <c r="B249" s="43" t="s">
        <v>189</v>
      </c>
      <c r="C249" s="48" t="s">
        <v>208</v>
      </c>
      <c r="D249" s="163"/>
      <c r="E249" s="48" t="s">
        <v>208</v>
      </c>
      <c r="F249" s="163"/>
      <c r="G249" s="48" t="s">
        <v>205</v>
      </c>
      <c r="H249" s="163"/>
      <c r="I249" s="48" t="s">
        <v>208</v>
      </c>
      <c r="J249" s="163"/>
      <c r="K249" s="48" t="s">
        <v>205</v>
      </c>
      <c r="L249" s="163"/>
      <c r="M249" s="27" t="s">
        <v>292</v>
      </c>
      <c r="N249" s="83" t="s">
        <v>1670</v>
      </c>
      <c r="O249" s="35" t="s">
        <v>182</v>
      </c>
      <c r="P249" s="84" t="str">
        <f t="shared" si="20"/>
        <v>TRUE</v>
      </c>
      <c r="Q249" s="49"/>
      <c r="R249" s="90" t="s">
        <v>1671</v>
      </c>
      <c r="S249" s="90" t="s">
        <v>1759</v>
      </c>
      <c r="T249" s="90"/>
    </row>
    <row r="250" spans="1:20" s="36" customFormat="1">
      <c r="A250" s="43" t="s">
        <v>190</v>
      </c>
      <c r="B250" s="43" t="s">
        <v>186</v>
      </c>
      <c r="C250" s="48" t="s">
        <v>206</v>
      </c>
      <c r="D250" s="163"/>
      <c r="E250" s="48" t="s">
        <v>206</v>
      </c>
      <c r="F250" s="163"/>
      <c r="G250" s="48" t="s">
        <v>205</v>
      </c>
      <c r="H250" s="163"/>
      <c r="I250" s="48" t="s">
        <v>206</v>
      </c>
      <c r="J250" s="163"/>
      <c r="K250" s="48" t="s">
        <v>205</v>
      </c>
      <c r="L250" s="163"/>
      <c r="M250" s="86" t="s">
        <v>292</v>
      </c>
      <c r="N250" s="83" t="s">
        <v>1670</v>
      </c>
      <c r="O250" s="35" t="s">
        <v>182</v>
      </c>
      <c r="P250" s="84" t="str">
        <f t="shared" si="20"/>
        <v>TRUE</v>
      </c>
      <c r="Q250" s="49"/>
      <c r="R250" s="90" t="s">
        <v>1671</v>
      </c>
      <c r="S250" s="90" t="s">
        <v>1759</v>
      </c>
      <c r="T250" s="90"/>
    </row>
    <row r="251" spans="1:20" customFormat="1">
      <c r="A251" s="43" t="s">
        <v>340</v>
      </c>
      <c r="B251" s="43" t="s">
        <v>341</v>
      </c>
      <c r="C251" s="48" t="s">
        <v>99</v>
      </c>
      <c r="D251" s="163"/>
      <c r="E251" s="48" t="s">
        <v>99</v>
      </c>
      <c r="F251" s="163"/>
      <c r="G251" s="48" t="s">
        <v>201</v>
      </c>
      <c r="H251" s="163"/>
      <c r="I251" s="48" t="s">
        <v>99</v>
      </c>
      <c r="J251" s="163"/>
      <c r="K251" s="48" t="s">
        <v>201</v>
      </c>
      <c r="L251" s="163"/>
      <c r="M251" s="86" t="s">
        <v>293</v>
      </c>
      <c r="N251" s="83" t="s">
        <v>380</v>
      </c>
      <c r="O251" s="35" t="s">
        <v>182</v>
      </c>
      <c r="P251" s="84" t="str">
        <f t="shared" si="20"/>
        <v>FALSE</v>
      </c>
      <c r="Q251" s="49"/>
      <c r="R251" s="90"/>
      <c r="S251" s="90"/>
      <c r="T251" s="90"/>
    </row>
    <row r="252" spans="1:20" customFormat="1">
      <c r="A252" s="43" t="s">
        <v>400</v>
      </c>
      <c r="B252" s="43" t="s">
        <v>401</v>
      </c>
      <c r="C252" s="48" t="s">
        <v>402</v>
      </c>
      <c r="D252" s="163"/>
      <c r="E252" s="48" t="s">
        <v>402</v>
      </c>
      <c r="F252" s="163"/>
      <c r="G252" s="48" t="s">
        <v>201</v>
      </c>
      <c r="H252" s="163"/>
      <c r="I252" s="48" t="s">
        <v>402</v>
      </c>
      <c r="J252" s="163"/>
      <c r="K252" s="48" t="s">
        <v>201</v>
      </c>
      <c r="L252" s="163"/>
      <c r="M252" s="86" t="s">
        <v>293</v>
      </c>
      <c r="N252" s="83" t="s">
        <v>380</v>
      </c>
      <c r="O252" s="35" t="s">
        <v>182</v>
      </c>
      <c r="P252" s="84" t="str">
        <f t="shared" ref="P252" si="23">N252</f>
        <v>FALSE</v>
      </c>
      <c r="Q252" s="49"/>
      <c r="R252" s="90"/>
      <c r="S252" s="90"/>
      <c r="T252" s="90"/>
    </row>
    <row r="253" spans="1:20" s="36" customFormat="1">
      <c r="A253" s="43" t="s">
        <v>249</v>
      </c>
      <c r="B253" s="43" t="s">
        <v>249</v>
      </c>
      <c r="C253" s="43" t="s">
        <v>249</v>
      </c>
      <c r="D253" s="38"/>
      <c r="E253" s="38"/>
      <c r="F253" s="38"/>
      <c r="G253" s="38"/>
      <c r="H253" s="31"/>
      <c r="I253" s="38"/>
      <c r="J253" s="38"/>
      <c r="K253" s="38"/>
      <c r="L253" s="31"/>
      <c r="M253" s="31"/>
      <c r="N253" s="31"/>
      <c r="O253" s="39"/>
      <c r="P253" s="40"/>
      <c r="Q253" s="40"/>
    </row>
    <row r="254" spans="1:20" s="36" customFormat="1">
      <c r="A254" s="52"/>
      <c r="B254" s="52"/>
      <c r="C254" s="41"/>
      <c r="D254" s="38"/>
      <c r="E254" s="38"/>
      <c r="F254" s="38"/>
      <c r="G254" s="38"/>
      <c r="H254" s="31"/>
      <c r="I254" s="38"/>
      <c r="J254" s="38"/>
      <c r="K254" s="38"/>
      <c r="L254" s="31"/>
      <c r="M254" s="31"/>
      <c r="N254" s="31"/>
      <c r="O254" s="39"/>
      <c r="P254" s="40"/>
      <c r="Q254" s="40"/>
    </row>
    <row r="255" spans="1:20" s="36" customFormat="1">
      <c r="A255" s="53"/>
      <c r="B255" s="53"/>
      <c r="C255" s="38"/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3"/>
      <c r="B256" s="53"/>
      <c r="C256" s="38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>
      <c r="A257" s="55"/>
      <c r="B257" s="55"/>
      <c r="C257" s="56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6"/>
      <c r="Q257" s="36"/>
    </row>
    <row r="258" spans="1:17">
      <c r="A258" s="430" t="s">
        <v>246</v>
      </c>
      <c r="B258" s="431"/>
      <c r="C258" s="427" t="s">
        <v>241</v>
      </c>
      <c r="D258" s="425"/>
      <c r="E258" s="425"/>
      <c r="F258" s="425"/>
      <c r="G258" s="425"/>
      <c r="H258" s="426"/>
      <c r="I258" s="424" t="s">
        <v>242</v>
      </c>
      <c r="J258" s="425"/>
      <c r="K258" s="425"/>
      <c r="L258" s="425"/>
      <c r="M258" s="426"/>
      <c r="N258" s="29" t="s">
        <v>243</v>
      </c>
      <c r="O258" s="29" t="s">
        <v>244</v>
      </c>
      <c r="P258" s="30" t="s">
        <v>243</v>
      </c>
      <c r="Q258" s="100" t="s">
        <v>661</v>
      </c>
    </row>
    <row r="259" spans="1:17" s="36" customFormat="1">
      <c r="A259" s="51" t="s">
        <v>231</v>
      </c>
      <c r="B259" s="51" t="s">
        <v>232</v>
      </c>
      <c r="C259" s="23" t="s">
        <v>191</v>
      </c>
      <c r="D259" s="93" t="s">
        <v>682</v>
      </c>
      <c r="E259" s="23" t="s">
        <v>178</v>
      </c>
      <c r="F259" s="93" t="s">
        <v>683</v>
      </c>
      <c r="G259" s="23" t="s">
        <v>179</v>
      </c>
      <c r="H259" s="93" t="s">
        <v>684</v>
      </c>
      <c r="I259" s="23" t="s">
        <v>195</v>
      </c>
      <c r="J259" s="93" t="s">
        <v>685</v>
      </c>
      <c r="K259" s="23" t="s">
        <v>197</v>
      </c>
      <c r="L259" s="93" t="s">
        <v>686</v>
      </c>
      <c r="M259" s="23" t="s">
        <v>358</v>
      </c>
      <c r="N259" s="33" t="s">
        <v>248</v>
      </c>
      <c r="O259" s="33" t="s">
        <v>250</v>
      </c>
      <c r="P259" s="34" t="s">
        <v>247</v>
      </c>
      <c r="Q259" s="28" t="s">
        <v>240</v>
      </c>
    </row>
    <row r="260" spans="1:17" s="36" customFormat="1">
      <c r="A260" s="43" t="s">
        <v>209</v>
      </c>
      <c r="B260" s="43" t="s">
        <v>211</v>
      </c>
      <c r="C260" s="48" t="s">
        <v>210</v>
      </c>
      <c r="D260" s="163"/>
      <c r="E260" s="48" t="s">
        <v>205</v>
      </c>
      <c r="F260" s="163"/>
      <c r="G260" s="48" t="s">
        <v>205</v>
      </c>
      <c r="H260" s="163"/>
      <c r="I260" s="48" t="s">
        <v>210</v>
      </c>
      <c r="J260" s="163"/>
      <c r="K260" s="48" t="s">
        <v>205</v>
      </c>
      <c r="L260" s="163"/>
      <c r="M260" s="27" t="s">
        <v>293</v>
      </c>
      <c r="N260" s="83" t="s">
        <v>1670</v>
      </c>
      <c r="O260" s="35" t="s">
        <v>182</v>
      </c>
      <c r="P260" s="84" t="str">
        <f t="shared" ref="P260:P280" si="24">N260</f>
        <v>TRUE</v>
      </c>
      <c r="Q260" s="49"/>
    </row>
    <row r="261" spans="1:17" customFormat="1">
      <c r="A261" s="43" t="s">
        <v>353</v>
      </c>
      <c r="B261" s="43" t="s">
        <v>310</v>
      </c>
      <c r="C261" s="48" t="s">
        <v>84</v>
      </c>
      <c r="D261" s="163"/>
      <c r="E261" s="48" t="s">
        <v>201</v>
      </c>
      <c r="F261" s="163"/>
      <c r="G261" s="48" t="s">
        <v>201</v>
      </c>
      <c r="H261" s="163"/>
      <c r="I261" s="48" t="s">
        <v>84</v>
      </c>
      <c r="J261" s="163"/>
      <c r="K261" s="48" t="s">
        <v>201</v>
      </c>
      <c r="L261" s="163"/>
      <c r="M261" s="86" t="s">
        <v>293</v>
      </c>
      <c r="N261" s="83" t="s">
        <v>1670</v>
      </c>
      <c r="O261" s="35" t="s">
        <v>182</v>
      </c>
      <c r="P261" s="84" t="str">
        <f>N261</f>
        <v>TRUE</v>
      </c>
      <c r="Q261" s="49"/>
    </row>
    <row r="262" spans="1:17" s="36" customFormat="1">
      <c r="A262" s="82" t="s">
        <v>456</v>
      </c>
      <c r="B262" s="43" t="s">
        <v>213</v>
      </c>
      <c r="C262" s="48" t="s">
        <v>207</v>
      </c>
      <c r="D262" s="163"/>
      <c r="E262" s="48" t="s">
        <v>201</v>
      </c>
      <c r="F262" s="163"/>
      <c r="G262" s="48" t="s">
        <v>201</v>
      </c>
      <c r="H262" s="163"/>
      <c r="I262" s="48" t="s">
        <v>207</v>
      </c>
      <c r="J262" s="163"/>
      <c r="K262" s="48" t="s">
        <v>201</v>
      </c>
      <c r="L262" s="163"/>
      <c r="M262" s="27" t="s">
        <v>293</v>
      </c>
      <c r="N262" s="83" t="s">
        <v>1670</v>
      </c>
      <c r="O262" s="35" t="s">
        <v>182</v>
      </c>
      <c r="P262" s="84" t="str">
        <f t="shared" ref="P262" si="25">N262</f>
        <v>TRUE</v>
      </c>
      <c r="Q262" s="49"/>
    </row>
    <row r="263" spans="1:17" s="36" customFormat="1">
      <c r="A263" s="43" t="s">
        <v>212</v>
      </c>
      <c r="B263" s="43" t="s">
        <v>213</v>
      </c>
      <c r="C263" s="48" t="s">
        <v>207</v>
      </c>
      <c r="D263" s="163"/>
      <c r="E263" s="48" t="s">
        <v>201</v>
      </c>
      <c r="F263" s="163"/>
      <c r="G263" s="48" t="s">
        <v>201</v>
      </c>
      <c r="H263" s="163"/>
      <c r="I263" s="48" t="s">
        <v>207</v>
      </c>
      <c r="J263" s="163"/>
      <c r="K263" s="48" t="s">
        <v>201</v>
      </c>
      <c r="L263" s="163"/>
      <c r="M263" s="27" t="s">
        <v>293</v>
      </c>
      <c r="N263" s="83" t="s">
        <v>1670</v>
      </c>
      <c r="O263" s="35" t="s">
        <v>182</v>
      </c>
      <c r="P263" s="84" t="str">
        <f t="shared" si="24"/>
        <v>TRUE</v>
      </c>
      <c r="Q263" s="49"/>
    </row>
    <row r="264" spans="1:17" s="36" customFormat="1">
      <c r="A264" s="43" t="s">
        <v>212</v>
      </c>
      <c r="B264" s="43" t="s">
        <v>295</v>
      </c>
      <c r="C264" s="48" t="s">
        <v>207</v>
      </c>
      <c r="D264" s="163"/>
      <c r="E264" s="48" t="s">
        <v>205</v>
      </c>
      <c r="F264" s="163"/>
      <c r="G264" s="48" t="s">
        <v>205</v>
      </c>
      <c r="H264" s="163"/>
      <c r="I264" s="48" t="s">
        <v>207</v>
      </c>
      <c r="J264" s="163"/>
      <c r="K264" s="48" t="s">
        <v>205</v>
      </c>
      <c r="L264" s="163"/>
      <c r="M264" s="27" t="s">
        <v>293</v>
      </c>
      <c r="N264" s="83" t="s">
        <v>1670</v>
      </c>
      <c r="O264" s="35" t="s">
        <v>182</v>
      </c>
      <c r="P264" s="84" t="str">
        <f t="shared" si="24"/>
        <v>TRUE</v>
      </c>
      <c r="Q264" s="49"/>
    </row>
    <row r="265" spans="1:17" s="36" customFormat="1">
      <c r="A265" s="82" t="s">
        <v>322</v>
      </c>
      <c r="B265" s="82" t="s">
        <v>305</v>
      </c>
      <c r="C265" s="48" t="s">
        <v>87</v>
      </c>
      <c r="D265" s="163"/>
      <c r="E265" s="48" t="s">
        <v>201</v>
      </c>
      <c r="F265" s="163"/>
      <c r="G265" s="48" t="s">
        <v>201</v>
      </c>
      <c r="H265" s="163"/>
      <c r="I265" s="48" t="s">
        <v>87</v>
      </c>
      <c r="J265" s="163"/>
      <c r="K265" s="48" t="s">
        <v>201</v>
      </c>
      <c r="L265" s="163"/>
      <c r="M265" s="27" t="s">
        <v>292</v>
      </c>
      <c r="N265" s="83" t="s">
        <v>1670</v>
      </c>
      <c r="O265" s="35" t="s">
        <v>182</v>
      </c>
      <c r="P265" s="84" t="str">
        <f t="shared" si="24"/>
        <v>TRUE</v>
      </c>
      <c r="Q265" s="49"/>
    </row>
    <row r="266" spans="1:17" s="129" customFormat="1">
      <c r="A266" s="82" t="s">
        <v>322</v>
      </c>
      <c r="B266" s="82" t="s">
        <v>1075</v>
      </c>
      <c r="C266" s="48" t="s">
        <v>87</v>
      </c>
      <c r="D266" s="163"/>
      <c r="E266" s="48" t="s">
        <v>201</v>
      </c>
      <c r="F266" s="163"/>
      <c r="G266" s="48" t="s">
        <v>201</v>
      </c>
      <c r="H266" s="163"/>
      <c r="I266" s="48" t="s">
        <v>87</v>
      </c>
      <c r="J266" s="163"/>
      <c r="K266" s="48" t="s">
        <v>201</v>
      </c>
      <c r="L266" s="163"/>
      <c r="M266" s="27" t="s">
        <v>292</v>
      </c>
      <c r="N266" s="83" t="s">
        <v>380</v>
      </c>
      <c r="O266" s="35" t="s">
        <v>182</v>
      </c>
      <c r="P266" s="84" t="str">
        <f t="shared" si="24"/>
        <v>FALSE</v>
      </c>
      <c r="Q266" s="49"/>
    </row>
    <row r="267" spans="1:17" s="36" customFormat="1">
      <c r="A267" s="82" t="s">
        <v>457</v>
      </c>
      <c r="B267" s="43" t="s">
        <v>296</v>
      </c>
      <c r="C267" s="48" t="s">
        <v>88</v>
      </c>
      <c r="D267" s="163"/>
      <c r="E267" s="48" t="s">
        <v>201</v>
      </c>
      <c r="F267" s="163"/>
      <c r="G267" s="48" t="s">
        <v>201</v>
      </c>
      <c r="H267" s="163"/>
      <c r="I267" s="48" t="s">
        <v>88</v>
      </c>
      <c r="J267" s="163"/>
      <c r="K267" s="48" t="s">
        <v>201</v>
      </c>
      <c r="L267" s="163"/>
      <c r="M267" s="27" t="s">
        <v>293</v>
      </c>
      <c r="N267" s="83" t="s">
        <v>1670</v>
      </c>
      <c r="O267" s="35" t="s">
        <v>182</v>
      </c>
      <c r="P267" s="84" t="str">
        <f t="shared" ref="P267" si="26">N267</f>
        <v>TRUE</v>
      </c>
      <c r="Q267" s="49"/>
    </row>
    <row r="268" spans="1:17" s="36" customFormat="1">
      <c r="A268" s="43" t="s">
        <v>333</v>
      </c>
      <c r="B268" s="43" t="s">
        <v>296</v>
      </c>
      <c r="C268" s="48" t="s">
        <v>88</v>
      </c>
      <c r="D268" s="163"/>
      <c r="E268" s="48" t="s">
        <v>201</v>
      </c>
      <c r="F268" s="163"/>
      <c r="G268" s="48" t="s">
        <v>201</v>
      </c>
      <c r="H268" s="163"/>
      <c r="I268" s="48" t="s">
        <v>88</v>
      </c>
      <c r="J268" s="163"/>
      <c r="K268" s="48" t="s">
        <v>201</v>
      </c>
      <c r="L268" s="163"/>
      <c r="M268" s="27" t="s">
        <v>331</v>
      </c>
      <c r="N268" s="83" t="s">
        <v>1670</v>
      </c>
      <c r="O268" s="35" t="s">
        <v>182</v>
      </c>
      <c r="P268" s="84" t="str">
        <f t="shared" si="24"/>
        <v>TRUE</v>
      </c>
      <c r="Q268" s="49"/>
    </row>
    <row r="269" spans="1:17" s="36" customFormat="1">
      <c r="A269" s="43" t="s">
        <v>333</v>
      </c>
      <c r="B269" s="43" t="s">
        <v>333</v>
      </c>
      <c r="C269" s="48" t="s">
        <v>88</v>
      </c>
      <c r="D269" s="163"/>
      <c r="E269" s="48" t="s">
        <v>205</v>
      </c>
      <c r="F269" s="163"/>
      <c r="G269" s="48" t="s">
        <v>205</v>
      </c>
      <c r="H269" s="163"/>
      <c r="I269" s="48" t="s">
        <v>88</v>
      </c>
      <c r="J269" s="163"/>
      <c r="K269" s="48" t="s">
        <v>205</v>
      </c>
      <c r="L269" s="163"/>
      <c r="M269" s="27" t="s">
        <v>331</v>
      </c>
      <c r="N269" s="83" t="s">
        <v>1670</v>
      </c>
      <c r="O269" s="35" t="s">
        <v>182</v>
      </c>
      <c r="P269" s="84" t="str">
        <f t="shared" si="24"/>
        <v>TRUE</v>
      </c>
      <c r="Q269" s="49"/>
    </row>
    <row r="270" spans="1:17" s="129" customFormat="1">
      <c r="A270" s="82" t="s">
        <v>1044</v>
      </c>
      <c r="B270" s="43" t="s">
        <v>1045</v>
      </c>
      <c r="C270" s="48" t="s">
        <v>1046</v>
      </c>
      <c r="D270" s="163"/>
      <c r="E270" s="48" t="s">
        <v>201</v>
      </c>
      <c r="F270" s="163"/>
      <c r="G270" s="48" t="s">
        <v>201</v>
      </c>
      <c r="H270" s="163"/>
      <c r="I270" s="48" t="s">
        <v>1046</v>
      </c>
      <c r="J270" s="163"/>
      <c r="K270" s="48" t="s">
        <v>201</v>
      </c>
      <c r="L270" s="163"/>
      <c r="M270" s="27" t="s">
        <v>293</v>
      </c>
      <c r="N270" s="83" t="s">
        <v>1670</v>
      </c>
      <c r="O270" s="35" t="s">
        <v>182</v>
      </c>
      <c r="P270" s="84" t="str">
        <f t="shared" si="24"/>
        <v>TRUE</v>
      </c>
      <c r="Q270" s="49"/>
    </row>
    <row r="271" spans="1:17" s="129" customFormat="1">
      <c r="A271" s="82" t="s">
        <v>1769</v>
      </c>
      <c r="B271" s="43" t="s">
        <v>354</v>
      </c>
      <c r="C271" s="48" t="s">
        <v>90</v>
      </c>
      <c r="D271" s="163"/>
      <c r="E271" s="48" t="s">
        <v>201</v>
      </c>
      <c r="F271" s="163"/>
      <c r="G271" s="48" t="s">
        <v>201</v>
      </c>
      <c r="H271" s="163"/>
      <c r="I271" s="48" t="s">
        <v>90</v>
      </c>
      <c r="J271" s="163"/>
      <c r="K271" s="48" t="s">
        <v>201</v>
      </c>
      <c r="L271" s="163"/>
      <c r="M271" s="27" t="s">
        <v>293</v>
      </c>
      <c r="N271" s="83" t="s">
        <v>380</v>
      </c>
      <c r="O271" s="35" t="s">
        <v>182</v>
      </c>
      <c r="P271" s="84" t="str">
        <f t="shared" ref="P271" si="27">N271</f>
        <v>FALSE</v>
      </c>
      <c r="Q271" s="49"/>
    </row>
    <row r="272" spans="1:17" s="36" customFormat="1">
      <c r="A272" s="43" t="s">
        <v>432</v>
      </c>
      <c r="B272" s="43" t="s">
        <v>303</v>
      </c>
      <c r="C272" s="48" t="s">
        <v>27</v>
      </c>
      <c r="D272" s="163"/>
      <c r="E272" s="48" t="s">
        <v>201</v>
      </c>
      <c r="F272" s="163"/>
      <c r="G272" s="48" t="s">
        <v>201</v>
      </c>
      <c r="H272" s="163"/>
      <c r="I272" s="48" t="s">
        <v>27</v>
      </c>
      <c r="J272" s="163"/>
      <c r="K272" s="48" t="s">
        <v>201</v>
      </c>
      <c r="L272" s="163"/>
      <c r="M272" s="86" t="s">
        <v>1672</v>
      </c>
      <c r="N272" s="83" t="s">
        <v>380</v>
      </c>
      <c r="O272" s="35" t="s">
        <v>182</v>
      </c>
      <c r="P272" s="84" t="str">
        <f t="shared" ref="P272" si="28">N272</f>
        <v>FALSE</v>
      </c>
      <c r="Q272" s="49"/>
    </row>
    <row r="273" spans="1:17" s="36" customFormat="1">
      <c r="A273" s="43" t="s">
        <v>289</v>
      </c>
      <c r="B273" s="43" t="s">
        <v>290</v>
      </c>
      <c r="C273" s="48" t="s">
        <v>44</v>
      </c>
      <c r="D273" s="163"/>
      <c r="E273" s="48" t="s">
        <v>201</v>
      </c>
      <c r="F273" s="163"/>
      <c r="G273" s="48" t="s">
        <v>201</v>
      </c>
      <c r="H273" s="163"/>
      <c r="I273" s="48" t="s">
        <v>44</v>
      </c>
      <c r="J273" s="163"/>
      <c r="K273" s="48" t="s">
        <v>201</v>
      </c>
      <c r="L273" s="163"/>
      <c r="M273" s="27" t="s">
        <v>293</v>
      </c>
      <c r="N273" s="83" t="s">
        <v>1670</v>
      </c>
      <c r="O273" s="35" t="s">
        <v>182</v>
      </c>
      <c r="P273" s="84" t="str">
        <f t="shared" si="24"/>
        <v>TRUE</v>
      </c>
      <c r="Q273" s="49"/>
    </row>
    <row r="274" spans="1:17" s="36" customFormat="1">
      <c r="A274" s="43" t="s">
        <v>289</v>
      </c>
      <c r="B274" s="43" t="s">
        <v>289</v>
      </c>
      <c r="C274" s="48" t="s">
        <v>44</v>
      </c>
      <c r="D274" s="163"/>
      <c r="E274" s="48" t="s">
        <v>201</v>
      </c>
      <c r="F274" s="163"/>
      <c r="G274" s="48" t="s">
        <v>201</v>
      </c>
      <c r="H274" s="163"/>
      <c r="I274" s="48" t="s">
        <v>44</v>
      </c>
      <c r="J274" s="163"/>
      <c r="K274" s="48" t="s">
        <v>201</v>
      </c>
      <c r="L274" s="163"/>
      <c r="M274" s="27" t="s">
        <v>293</v>
      </c>
      <c r="N274" s="83" t="s">
        <v>1670</v>
      </c>
      <c r="O274" s="35" t="s">
        <v>182</v>
      </c>
      <c r="P274" s="84" t="str">
        <f t="shared" si="24"/>
        <v>TRUE</v>
      </c>
      <c r="Q274" s="49"/>
    </row>
    <row r="275" spans="1:17" s="36" customFormat="1">
      <c r="A275" s="43" t="s">
        <v>288</v>
      </c>
      <c r="B275" s="43" t="s">
        <v>185</v>
      </c>
      <c r="C275" s="48" t="s">
        <v>97</v>
      </c>
      <c r="D275" s="163"/>
      <c r="E275" s="48" t="s">
        <v>201</v>
      </c>
      <c r="F275" s="163"/>
      <c r="G275" s="48" t="s">
        <v>201</v>
      </c>
      <c r="H275" s="163"/>
      <c r="I275" s="48" t="s">
        <v>97</v>
      </c>
      <c r="J275" s="163"/>
      <c r="K275" s="48" t="s">
        <v>201</v>
      </c>
      <c r="L275" s="163"/>
      <c r="M275" s="27" t="s">
        <v>293</v>
      </c>
      <c r="N275" s="83" t="s">
        <v>1670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288</v>
      </c>
      <c r="B276" s="43" t="s">
        <v>288</v>
      </c>
      <c r="C276" s="48" t="s">
        <v>97</v>
      </c>
      <c r="D276" s="163"/>
      <c r="E276" s="48" t="s">
        <v>201</v>
      </c>
      <c r="F276" s="163"/>
      <c r="G276" s="48" t="s">
        <v>201</v>
      </c>
      <c r="H276" s="163"/>
      <c r="I276" s="48" t="s">
        <v>97</v>
      </c>
      <c r="J276" s="163"/>
      <c r="K276" s="48" t="s">
        <v>201</v>
      </c>
      <c r="L276" s="163"/>
      <c r="M276" s="27" t="s">
        <v>293</v>
      </c>
      <c r="N276" s="83" t="s">
        <v>1670</v>
      </c>
      <c r="O276" s="35" t="s">
        <v>182</v>
      </c>
      <c r="P276" s="84" t="str">
        <f t="shared" ref="P276" si="29">N276</f>
        <v>TRUE</v>
      </c>
      <c r="Q276" s="49"/>
    </row>
    <row r="277" spans="1:17" s="36" customFormat="1">
      <c r="A277" s="43" t="s">
        <v>291</v>
      </c>
      <c r="B277" s="43" t="s">
        <v>189</v>
      </c>
      <c r="C277" s="48" t="s">
        <v>24</v>
      </c>
      <c r="D277" s="163"/>
      <c r="E277" s="48" t="s">
        <v>201</v>
      </c>
      <c r="F277" s="163"/>
      <c r="G277" s="48" t="s">
        <v>201</v>
      </c>
      <c r="H277" s="163"/>
      <c r="I277" s="48" t="s">
        <v>24</v>
      </c>
      <c r="J277" s="163"/>
      <c r="K277" s="48" t="s">
        <v>201</v>
      </c>
      <c r="L277" s="163"/>
      <c r="M277" s="27" t="s">
        <v>292</v>
      </c>
      <c r="N277" s="83" t="s">
        <v>1670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291</v>
      </c>
      <c r="B278" s="43" t="s">
        <v>291</v>
      </c>
      <c r="C278" s="48" t="s">
        <v>24</v>
      </c>
      <c r="D278" s="163"/>
      <c r="E278" s="48" t="s">
        <v>201</v>
      </c>
      <c r="F278" s="163"/>
      <c r="G278" s="48" t="s">
        <v>201</v>
      </c>
      <c r="H278" s="163"/>
      <c r="I278" s="48" t="s">
        <v>24</v>
      </c>
      <c r="J278" s="163"/>
      <c r="K278" s="48" t="s">
        <v>201</v>
      </c>
      <c r="L278" s="163"/>
      <c r="M278" s="27" t="s">
        <v>292</v>
      </c>
      <c r="N278" s="83" t="s">
        <v>1670</v>
      </c>
      <c r="O278" s="35" t="s">
        <v>182</v>
      </c>
      <c r="P278" s="84" t="str">
        <f t="shared" ref="P278" si="30">N278</f>
        <v>TRUE</v>
      </c>
      <c r="Q278" s="49"/>
    </row>
    <row r="279" spans="1:17" s="36" customFormat="1">
      <c r="A279" s="43" t="s">
        <v>287</v>
      </c>
      <c r="B279" s="43" t="s">
        <v>186</v>
      </c>
      <c r="C279" s="48" t="s">
        <v>98</v>
      </c>
      <c r="D279" s="163"/>
      <c r="E279" s="48" t="s">
        <v>201</v>
      </c>
      <c r="F279" s="163"/>
      <c r="G279" s="48" t="s">
        <v>201</v>
      </c>
      <c r="H279" s="163"/>
      <c r="I279" s="48" t="s">
        <v>98</v>
      </c>
      <c r="J279" s="163"/>
      <c r="K279" s="48" t="s">
        <v>201</v>
      </c>
      <c r="L279" s="163"/>
      <c r="M279" s="27" t="s">
        <v>332</v>
      </c>
      <c r="N279" s="83" t="s">
        <v>1670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287</v>
      </c>
      <c r="B280" s="43" t="s">
        <v>287</v>
      </c>
      <c r="C280" s="48" t="s">
        <v>98</v>
      </c>
      <c r="D280" s="163"/>
      <c r="E280" s="48" t="s">
        <v>201</v>
      </c>
      <c r="F280" s="163"/>
      <c r="G280" s="48" t="s">
        <v>201</v>
      </c>
      <c r="H280" s="163"/>
      <c r="I280" s="48" t="s">
        <v>98</v>
      </c>
      <c r="J280" s="163"/>
      <c r="K280" s="48" t="s">
        <v>201</v>
      </c>
      <c r="L280" s="163"/>
      <c r="M280" s="86" t="s">
        <v>332</v>
      </c>
      <c r="N280" s="83" t="s">
        <v>1670</v>
      </c>
      <c r="O280" s="35" t="s">
        <v>182</v>
      </c>
      <c r="P280" s="84" t="str">
        <f t="shared" si="24"/>
        <v>TRUE</v>
      </c>
      <c r="Q280" s="49"/>
    </row>
    <row r="281" spans="1:17" customFormat="1">
      <c r="A281" s="43" t="s">
        <v>355</v>
      </c>
      <c r="B281" s="43" t="s">
        <v>341</v>
      </c>
      <c r="C281" s="48" t="s">
        <v>99</v>
      </c>
      <c r="D281" s="163"/>
      <c r="E281" s="48" t="s">
        <v>201</v>
      </c>
      <c r="F281" s="163"/>
      <c r="G281" s="48" t="s">
        <v>201</v>
      </c>
      <c r="H281" s="163"/>
      <c r="I281" s="48" t="s">
        <v>99</v>
      </c>
      <c r="J281" s="163"/>
      <c r="K281" s="48" t="s">
        <v>201</v>
      </c>
      <c r="L281" s="163"/>
      <c r="M281" s="86" t="s">
        <v>292</v>
      </c>
      <c r="N281" s="83" t="s">
        <v>380</v>
      </c>
      <c r="O281" s="35" t="s">
        <v>182</v>
      </c>
      <c r="P281" s="84" t="str">
        <f>N281</f>
        <v>FALSE</v>
      </c>
      <c r="Q281" s="49"/>
    </row>
    <row r="282" spans="1:17" customFormat="1">
      <c r="A282" s="43" t="s">
        <v>355</v>
      </c>
      <c r="B282" s="43" t="s">
        <v>1047</v>
      </c>
      <c r="C282" s="48" t="s">
        <v>99</v>
      </c>
      <c r="D282" s="163"/>
      <c r="E282" s="48" t="s">
        <v>201</v>
      </c>
      <c r="F282" s="163"/>
      <c r="G282" s="48" t="s">
        <v>201</v>
      </c>
      <c r="H282" s="163"/>
      <c r="I282" s="48" t="s">
        <v>99</v>
      </c>
      <c r="J282" s="163"/>
      <c r="K282" s="48" t="s">
        <v>201</v>
      </c>
      <c r="L282" s="163"/>
      <c r="M282" s="86" t="s">
        <v>292</v>
      </c>
      <c r="N282" s="83" t="s">
        <v>380</v>
      </c>
      <c r="O282" s="35" t="s">
        <v>182</v>
      </c>
      <c r="P282" s="84" t="str">
        <f>N282</f>
        <v>FALSE</v>
      </c>
      <c r="Q282" s="49"/>
    </row>
    <row r="283" spans="1:17" customFormat="1">
      <c r="A283" s="82" t="s">
        <v>458</v>
      </c>
      <c r="B283" s="43" t="s">
        <v>401</v>
      </c>
      <c r="C283" s="48" t="s">
        <v>402</v>
      </c>
      <c r="D283" s="163"/>
      <c r="E283" s="48" t="s">
        <v>201</v>
      </c>
      <c r="F283" s="163"/>
      <c r="G283" s="48" t="s">
        <v>201</v>
      </c>
      <c r="H283" s="163"/>
      <c r="I283" s="48" t="s">
        <v>402</v>
      </c>
      <c r="J283" s="163"/>
      <c r="K283" s="48" t="s">
        <v>201</v>
      </c>
      <c r="L283" s="163"/>
      <c r="M283" s="86" t="s">
        <v>293</v>
      </c>
      <c r="N283" s="83" t="s">
        <v>380</v>
      </c>
      <c r="O283" s="35" t="s">
        <v>182</v>
      </c>
      <c r="P283" s="84" t="str">
        <f t="shared" ref="P283" si="31">N283</f>
        <v>FALSE</v>
      </c>
      <c r="Q283" s="49"/>
    </row>
    <row r="284" spans="1:17" s="389" customFormat="1">
      <c r="A284" s="82" t="s">
        <v>458</v>
      </c>
      <c r="B284" s="82" t="s">
        <v>458</v>
      </c>
      <c r="C284" s="48" t="s">
        <v>402</v>
      </c>
      <c r="D284" s="163"/>
      <c r="E284" s="48" t="s">
        <v>201</v>
      </c>
      <c r="F284" s="163"/>
      <c r="G284" s="48" t="s">
        <v>201</v>
      </c>
      <c r="H284" s="163"/>
      <c r="I284" s="48" t="s">
        <v>402</v>
      </c>
      <c r="J284" s="163"/>
      <c r="K284" s="48" t="s">
        <v>201</v>
      </c>
      <c r="L284" s="163"/>
      <c r="M284" s="86" t="s">
        <v>293</v>
      </c>
      <c r="N284" s="83" t="s">
        <v>380</v>
      </c>
      <c r="O284" s="35" t="s">
        <v>182</v>
      </c>
      <c r="P284" s="84" t="str">
        <f t="shared" ref="P284" si="32">N284</f>
        <v>FALSE</v>
      </c>
      <c r="Q284" s="49"/>
    </row>
    <row r="285" spans="1:17" customFormat="1">
      <c r="A285" s="43" t="s">
        <v>403</v>
      </c>
      <c r="B285" s="43" t="s">
        <v>401</v>
      </c>
      <c r="C285" s="48" t="s">
        <v>402</v>
      </c>
      <c r="D285" s="163"/>
      <c r="E285" s="48" t="s">
        <v>201</v>
      </c>
      <c r="F285" s="163"/>
      <c r="G285" s="48" t="s">
        <v>201</v>
      </c>
      <c r="H285" s="163"/>
      <c r="I285" s="48" t="s">
        <v>402</v>
      </c>
      <c r="J285" s="163"/>
      <c r="K285" s="48" t="s">
        <v>201</v>
      </c>
      <c r="L285" s="163"/>
      <c r="M285" s="86" t="s">
        <v>293</v>
      </c>
      <c r="N285" s="83" t="s">
        <v>380</v>
      </c>
      <c r="O285" s="35" t="s">
        <v>182</v>
      </c>
      <c r="P285" s="84" t="str">
        <f t="shared" ref="P285:P286" si="33">N285</f>
        <v>FALSE</v>
      </c>
      <c r="Q285" s="49"/>
    </row>
    <row r="286" spans="1:17" s="389" customFormat="1">
      <c r="A286" s="43" t="s">
        <v>403</v>
      </c>
      <c r="B286" s="43" t="s">
        <v>403</v>
      </c>
      <c r="C286" s="48" t="s">
        <v>402</v>
      </c>
      <c r="D286" s="391"/>
      <c r="E286" s="48" t="s">
        <v>201</v>
      </c>
      <c r="F286" s="391"/>
      <c r="G286" s="48" t="s">
        <v>201</v>
      </c>
      <c r="H286" s="391"/>
      <c r="I286" s="48" t="s">
        <v>402</v>
      </c>
      <c r="J286" s="391"/>
      <c r="K286" s="48" t="s">
        <v>201</v>
      </c>
      <c r="L286" s="391"/>
      <c r="M286" s="86" t="s">
        <v>293</v>
      </c>
      <c r="N286" s="83" t="s">
        <v>380</v>
      </c>
      <c r="O286" s="35" t="s">
        <v>182</v>
      </c>
      <c r="P286" s="84" t="str">
        <f t="shared" si="33"/>
        <v>FALSE</v>
      </c>
      <c r="Q286" s="49"/>
    </row>
    <row r="287" spans="1:17" s="36" customFormat="1">
      <c r="A287" s="47" t="s">
        <v>249</v>
      </c>
      <c r="B287" s="47" t="s">
        <v>249</v>
      </c>
      <c r="C287" s="47" t="s">
        <v>249</v>
      </c>
      <c r="D287" s="37"/>
      <c r="E287" s="37"/>
      <c r="F287" s="42"/>
      <c r="G287" s="37"/>
      <c r="H287" s="42"/>
      <c r="I287" s="37"/>
      <c r="J287" s="37"/>
      <c r="K287" s="37"/>
      <c r="L287" s="37"/>
      <c r="M287" s="37"/>
      <c r="N287" s="37"/>
      <c r="O287" s="37"/>
    </row>
    <row r="288" spans="1:17" s="36" customFormat="1">
      <c r="A288" s="50"/>
      <c r="B288" s="50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</row>
    <row r="289" spans="1:17" s="36" customFormat="1">
      <c r="A289" s="50"/>
      <c r="B289" s="50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</row>
    <row r="290" spans="1:17" s="36" customFormat="1">
      <c r="A290" s="50"/>
      <c r="B290" s="50"/>
      <c r="D290" s="37"/>
      <c r="E290" s="37"/>
      <c r="F290" s="37"/>
      <c r="G290" s="37" t="s">
        <v>677</v>
      </c>
      <c r="H290" s="37"/>
      <c r="I290" s="37"/>
      <c r="J290" s="37"/>
      <c r="K290" s="37"/>
      <c r="L290" s="37"/>
      <c r="M290" s="37"/>
      <c r="N290" s="37"/>
      <c r="O290" s="37"/>
    </row>
    <row r="291" spans="1:17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7" s="36" customFormat="1">
      <c r="A292" s="50"/>
      <c r="B292" s="50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</row>
    <row r="293" spans="1:17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7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</row>
    <row r="295" spans="1:17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</row>
    <row r="296" spans="1:17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7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7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7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7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7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7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7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7">
      <c r="C304" s="36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6"/>
    </row>
  </sheetData>
  <sheetProtection algorithmName="SHA-512" hashValue="NVcCZKga2gIROTPYlpJoA9kQFfIxXlpyDYlwBHdH3NvT+FjQOlvDQZgQDhirNVPQKey9xA3MEPOwpKmWQqknQQ==" saltValue="XH9qvAjEwNhwBlZgYFUVjA==" spinCount="100000" sheet="1" objects="1" scenarios="1"/>
  <mergeCells count="12">
    <mergeCell ref="A237:B237"/>
    <mergeCell ref="C237:H237"/>
    <mergeCell ref="I237:M237"/>
    <mergeCell ref="A258:B258"/>
    <mergeCell ref="C258:H258"/>
    <mergeCell ref="I258:M258"/>
    <mergeCell ref="I17:M17"/>
    <mergeCell ref="C17:H17"/>
    <mergeCell ref="I232:M232"/>
    <mergeCell ref="C232:H232"/>
    <mergeCell ref="A232:B232"/>
    <mergeCell ref="A17:B17"/>
  </mergeCells>
  <phoneticPr fontId="12" type="noConversion"/>
  <conditionalFormatting sqref="N260:N270 N239:N246 N19:N58 N61:N77 N181:N193 N218:N227 N285 N210:N215 N80:N83 N86:N121 N124:N131 N171:N176 N196:N207 N248:N252 N272:N283 N134:N154 N157:N158 N161:N164">
    <cfRule type="cellIs" dxfId="253" priority="594" operator="equal">
      <formula>FALSE</formula>
    </cfRule>
    <cfRule type="cellIs" dxfId="252" priority="599" operator="equal">
      <formula>TRUE</formula>
    </cfRule>
  </conditionalFormatting>
  <conditionalFormatting sqref="P260:P270 P239:P246 P19:P58 P61:P77 P181:P193 P218:P227 P285 P210:P215 P80:P83 P86:P121 P124:P131 P171:P176 P196:P207 P248:P252 P272:P283 P134:P154 P157:P158 P161:P164">
    <cfRule type="cellIs" dxfId="251" priority="595" operator="equal">
      <formula>FALSE</formula>
    </cfRule>
    <cfRule type="cellIs" dxfId="250" priority="596" operator="equal">
      <formula>TRUE</formula>
    </cfRule>
  </conditionalFormatting>
  <conditionalFormatting sqref="D19:D77 F19:F77 J19:J77 J210:J227 F210:F227 D210:D227 J80:J83 F80:F83 D80:D83 D86:D121 F86:F121 J86:J121 J124:J131 F124:F131 D124:D131 D171:D193 F171:F193 J171:J193 J196:J207 F196:F207 D196:D207 D134:D154 F134:F154 J134:J154 J157:J158 F157:F158 D157:D158 D161:D164 F161:F164 J161:J164">
    <cfRule type="containsText" dxfId="249" priority="370" operator="containsText" text="ALTERNATE_FE">
      <formula>NOT(ISERROR(SEARCH("ALTERNATE_FE",D19)))</formula>
    </cfRule>
    <cfRule type="cellIs" dxfId="248" priority="371" operator="equal">
      <formula>"Single Band Path"</formula>
    </cfRule>
  </conditionalFormatting>
  <conditionalFormatting sqref="O19:O58 O260:O270 O239:O246 N202:O203 O61:O77 O181:O193 O218:O227 O285 O210:O215 O80:O83 O86:O121 O124:O131 O171:O176 O196:O207 O248:O252 O272:O283 O134:O154 O157:O158 O161:O164">
    <cfRule type="cellIs" dxfId="247" priority="601" operator="equal">
      <formula>"Disable"</formula>
    </cfRule>
    <cfRule type="cellIs" dxfId="246" priority="602" operator="equal">
      <formula>"Enable"</formula>
    </cfRule>
  </conditionalFormatting>
  <conditionalFormatting sqref="R19:T77 R239:T246 R210:T227 R80:T83 R86:T121 R124:T131 R171:T193 R196:T207 R248:T252 R134:T154 R157:T158 R161:T164">
    <cfRule type="containsText" dxfId="245" priority="271" operator="containsText" text="DL">
      <formula>NOT(ISERROR(SEARCH("DL",R19)))</formula>
    </cfRule>
    <cfRule type="containsText" dxfId="244" priority="272" operator="containsText" text="LTE">
      <formula>NOT(ISERROR(SEARCH("LTE",R19)))</formula>
    </cfRule>
    <cfRule type="containsText" dxfId="243" priority="273" operator="containsText" text="UL">
      <formula>NOT(ISERROR(SEARCH("UL",R19)))</formula>
    </cfRule>
  </conditionalFormatting>
  <conditionalFormatting sqref="T19:T77 T239:T246 T210:T227 T80:T83 T86:T121 T124:T131 T171:T193 T196:T207 T248:T252 T134:T154 T157:T158 T161:T164">
    <cfRule type="expression" dxfId="242" priority="232">
      <formula>$BC$5="SW_CAPABILITY_NOT_SUPPORT"</formula>
    </cfRule>
  </conditionalFormatting>
  <conditionalFormatting sqref="N59">
    <cfRule type="cellIs" dxfId="241" priority="226" operator="equal">
      <formula>FALSE</formula>
    </cfRule>
    <cfRule type="cellIs" dxfId="240" priority="229" operator="equal">
      <formula>TRUE</formula>
    </cfRule>
  </conditionalFormatting>
  <conditionalFormatting sqref="P59">
    <cfRule type="cellIs" dxfId="239" priority="227" operator="equal">
      <formula>FALSE</formula>
    </cfRule>
    <cfRule type="cellIs" dxfId="238" priority="228" operator="equal">
      <formula>TRUE</formula>
    </cfRule>
  </conditionalFormatting>
  <conditionalFormatting sqref="O59">
    <cfRule type="cellIs" dxfId="237" priority="230" operator="equal">
      <formula>"Disable"</formula>
    </cfRule>
    <cfRule type="cellIs" dxfId="236" priority="231" operator="equal">
      <formula>"Enable"</formula>
    </cfRule>
  </conditionalFormatting>
  <conditionalFormatting sqref="N60">
    <cfRule type="cellIs" dxfId="235" priority="218" operator="equal">
      <formula>FALSE</formula>
    </cfRule>
    <cfRule type="cellIs" dxfId="234" priority="221" operator="equal">
      <formula>TRUE</formula>
    </cfRule>
  </conditionalFormatting>
  <conditionalFormatting sqref="P60">
    <cfRule type="cellIs" dxfId="233" priority="219" operator="equal">
      <formula>FALSE</formula>
    </cfRule>
    <cfRule type="cellIs" dxfId="232" priority="220" operator="equal">
      <formula>TRUE</formula>
    </cfRule>
  </conditionalFormatting>
  <conditionalFormatting sqref="O60">
    <cfRule type="cellIs" dxfId="231" priority="222" operator="equal">
      <formula>"Disable"</formula>
    </cfRule>
    <cfRule type="cellIs" dxfId="230" priority="223" operator="equal">
      <formula>"Enable"</formula>
    </cfRule>
  </conditionalFormatting>
  <conditionalFormatting sqref="N177:N178">
    <cfRule type="cellIs" dxfId="229" priority="212" operator="equal">
      <formula>FALSE</formula>
    </cfRule>
    <cfRule type="cellIs" dxfId="228" priority="215" operator="equal">
      <formula>TRUE</formula>
    </cfRule>
  </conditionalFormatting>
  <conditionalFormatting sqref="P177:P178">
    <cfRule type="cellIs" dxfId="227" priority="213" operator="equal">
      <formula>FALSE</formula>
    </cfRule>
    <cfRule type="cellIs" dxfId="226" priority="214" operator="equal">
      <formula>TRUE</formula>
    </cfRule>
  </conditionalFormatting>
  <conditionalFormatting sqref="O177:O178">
    <cfRule type="cellIs" dxfId="225" priority="216" operator="equal">
      <formula>"Disable"</formula>
    </cfRule>
    <cfRule type="cellIs" dxfId="224" priority="217" operator="equal">
      <formula>"Enable"</formula>
    </cfRule>
  </conditionalFormatting>
  <conditionalFormatting sqref="N179:N180">
    <cfRule type="cellIs" dxfId="223" priority="206" operator="equal">
      <formula>FALSE</formula>
    </cfRule>
    <cfRule type="cellIs" dxfId="222" priority="209" operator="equal">
      <formula>TRUE</formula>
    </cfRule>
  </conditionalFormatting>
  <conditionalFormatting sqref="P179:P180">
    <cfRule type="cellIs" dxfId="221" priority="207" operator="equal">
      <formula>FALSE</formula>
    </cfRule>
    <cfRule type="cellIs" dxfId="220" priority="208" operator="equal">
      <formula>TRUE</formula>
    </cfRule>
  </conditionalFormatting>
  <conditionalFormatting sqref="O179:O180">
    <cfRule type="cellIs" dxfId="219" priority="210" operator="equal">
      <formula>"Disable"</formula>
    </cfRule>
    <cfRule type="cellIs" dxfId="218" priority="211" operator="equal">
      <formula>"Enable"</formula>
    </cfRule>
  </conditionalFormatting>
  <conditionalFormatting sqref="N216">
    <cfRule type="cellIs" dxfId="217" priority="200" operator="equal">
      <formula>FALSE</formula>
    </cfRule>
    <cfRule type="cellIs" dxfId="216" priority="203" operator="equal">
      <formula>TRUE</formula>
    </cfRule>
  </conditionalFormatting>
  <conditionalFormatting sqref="P216">
    <cfRule type="cellIs" dxfId="215" priority="201" operator="equal">
      <formula>FALSE</formula>
    </cfRule>
    <cfRule type="cellIs" dxfId="214" priority="202" operator="equal">
      <formula>TRUE</formula>
    </cfRule>
  </conditionalFormatting>
  <conditionalFormatting sqref="O216">
    <cfRule type="cellIs" dxfId="213" priority="204" operator="equal">
      <formula>"Disable"</formula>
    </cfRule>
    <cfRule type="cellIs" dxfId="212" priority="205" operator="equal">
      <formula>"Enable"</formula>
    </cfRule>
  </conditionalFormatting>
  <conditionalFormatting sqref="N217">
    <cfRule type="cellIs" dxfId="211" priority="194" operator="equal">
      <formula>FALSE</formula>
    </cfRule>
    <cfRule type="cellIs" dxfId="210" priority="197" operator="equal">
      <formula>TRUE</formula>
    </cfRule>
  </conditionalFormatting>
  <conditionalFormatting sqref="P217">
    <cfRule type="cellIs" dxfId="209" priority="195" operator="equal">
      <formula>FALSE</formula>
    </cfRule>
    <cfRule type="cellIs" dxfId="208" priority="196" operator="equal">
      <formula>TRUE</formula>
    </cfRule>
  </conditionalFormatting>
  <conditionalFormatting sqref="O217">
    <cfRule type="cellIs" dxfId="207" priority="198" operator="equal">
      <formula>"Disable"</formula>
    </cfRule>
    <cfRule type="cellIs" dxfId="206" priority="199" operator="equal">
      <formula>"Enable"</formula>
    </cfRule>
  </conditionalFormatting>
  <conditionalFormatting sqref="N284">
    <cfRule type="cellIs" dxfId="205" priority="188" operator="equal">
      <formula>FALSE</formula>
    </cfRule>
    <cfRule type="cellIs" dxfId="204" priority="191" operator="equal">
      <formula>TRUE</formula>
    </cfRule>
  </conditionalFormatting>
  <conditionalFormatting sqref="P284">
    <cfRule type="cellIs" dxfId="203" priority="189" operator="equal">
      <formula>FALSE</formula>
    </cfRule>
    <cfRule type="cellIs" dxfId="202" priority="190" operator="equal">
      <formula>TRUE</formula>
    </cfRule>
  </conditionalFormatting>
  <conditionalFormatting sqref="O284">
    <cfRule type="cellIs" dxfId="201" priority="192" operator="equal">
      <formula>"Disable"</formula>
    </cfRule>
    <cfRule type="cellIs" dxfId="200" priority="193" operator="equal">
      <formula>"Enable"</formula>
    </cfRule>
  </conditionalFormatting>
  <conditionalFormatting sqref="N286">
    <cfRule type="cellIs" dxfId="199" priority="182" operator="equal">
      <formula>FALSE</formula>
    </cfRule>
    <cfRule type="cellIs" dxfId="198" priority="185" operator="equal">
      <formula>TRUE</formula>
    </cfRule>
  </conditionalFormatting>
  <conditionalFormatting sqref="P286">
    <cfRule type="cellIs" dxfId="197" priority="183" operator="equal">
      <formula>FALSE</formula>
    </cfRule>
    <cfRule type="cellIs" dxfId="196" priority="184" operator="equal">
      <formula>TRUE</formula>
    </cfRule>
  </conditionalFormatting>
  <conditionalFormatting sqref="O286">
    <cfRule type="cellIs" dxfId="195" priority="186" operator="equal">
      <formula>"Disable"</formula>
    </cfRule>
    <cfRule type="cellIs" dxfId="194" priority="187" operator="equal">
      <formula>"Enable"</formula>
    </cfRule>
  </conditionalFormatting>
  <conditionalFormatting sqref="N208:N209">
    <cfRule type="cellIs" dxfId="193" priority="174" operator="equal">
      <formula>FALSE</formula>
    </cfRule>
    <cfRule type="cellIs" dxfId="192" priority="177" operator="equal">
      <formula>TRUE</formula>
    </cfRule>
  </conditionalFormatting>
  <conditionalFormatting sqref="P208:P209">
    <cfRule type="cellIs" dxfId="191" priority="175" operator="equal">
      <formula>FALSE</formula>
    </cfRule>
    <cfRule type="cellIs" dxfId="190" priority="176" operator="equal">
      <formula>TRUE</formula>
    </cfRule>
  </conditionalFormatting>
  <conditionalFormatting sqref="J208:J209 F208:F209 D208:D209">
    <cfRule type="containsText" dxfId="189" priority="172" operator="containsText" text="ALTERNATE_FE">
      <formula>NOT(ISERROR(SEARCH("ALTERNATE_FE",D208)))</formula>
    </cfRule>
    <cfRule type="cellIs" dxfId="188" priority="173" operator="equal">
      <formula>"Single Band Path"</formula>
    </cfRule>
  </conditionalFormatting>
  <conditionalFormatting sqref="O208:O209">
    <cfRule type="cellIs" dxfId="187" priority="178" operator="equal">
      <formula>"Disable"</formula>
    </cfRule>
    <cfRule type="cellIs" dxfId="186" priority="179" operator="equal">
      <formula>"Enable"</formula>
    </cfRule>
  </conditionalFormatting>
  <conditionalFormatting sqref="R208:T209">
    <cfRule type="containsText" dxfId="185" priority="169" operator="containsText" text="DL">
      <formula>NOT(ISERROR(SEARCH("DL",R208)))</formula>
    </cfRule>
    <cfRule type="containsText" dxfId="184" priority="170" operator="containsText" text="LTE">
      <formula>NOT(ISERROR(SEARCH("LTE",R208)))</formula>
    </cfRule>
    <cfRule type="containsText" dxfId="183" priority="171" operator="containsText" text="UL">
      <formula>NOT(ISERROR(SEARCH("UL",R208)))</formula>
    </cfRule>
  </conditionalFormatting>
  <conditionalFormatting sqref="T208:T209">
    <cfRule type="expression" dxfId="182" priority="168">
      <formula>$BC$5="SW_CAPABILITY_NOT_SUPPORT"</formula>
    </cfRule>
  </conditionalFormatting>
  <conditionalFormatting sqref="N78:N79">
    <cfRule type="cellIs" dxfId="181" priority="160" operator="equal">
      <formula>FALSE</formula>
    </cfRule>
    <cfRule type="cellIs" dxfId="180" priority="163" operator="equal">
      <formula>TRUE</formula>
    </cfRule>
  </conditionalFormatting>
  <conditionalFormatting sqref="P78:P79">
    <cfRule type="cellIs" dxfId="179" priority="161" operator="equal">
      <formula>FALSE</formula>
    </cfRule>
    <cfRule type="cellIs" dxfId="178" priority="162" operator="equal">
      <formula>TRUE</formula>
    </cfRule>
  </conditionalFormatting>
  <conditionalFormatting sqref="J78:J79 F78:F79 D78:D79">
    <cfRule type="containsText" dxfId="177" priority="158" operator="containsText" text="ALTERNATE_FE">
      <formula>NOT(ISERROR(SEARCH("ALTERNATE_FE",D78)))</formula>
    </cfRule>
    <cfRule type="cellIs" dxfId="176" priority="159" operator="equal">
      <formula>"Single Band Path"</formula>
    </cfRule>
  </conditionalFormatting>
  <conditionalFormatting sqref="O78:O79">
    <cfRule type="cellIs" dxfId="175" priority="164" operator="equal">
      <formula>"Disable"</formula>
    </cfRule>
    <cfRule type="cellIs" dxfId="174" priority="165" operator="equal">
      <formula>"Enable"</formula>
    </cfRule>
  </conditionalFormatting>
  <conditionalFormatting sqref="R78:T79">
    <cfRule type="containsText" dxfId="173" priority="155" operator="containsText" text="DL">
      <formula>NOT(ISERROR(SEARCH("DL",R78)))</formula>
    </cfRule>
    <cfRule type="containsText" dxfId="172" priority="156" operator="containsText" text="LTE">
      <formula>NOT(ISERROR(SEARCH("LTE",R78)))</formula>
    </cfRule>
    <cfRule type="containsText" dxfId="171" priority="157" operator="containsText" text="UL">
      <formula>NOT(ISERROR(SEARCH("UL",R78)))</formula>
    </cfRule>
  </conditionalFormatting>
  <conditionalFormatting sqref="T78:T79">
    <cfRule type="expression" dxfId="170" priority="154">
      <formula>$BC$5="SW_CAPABILITY_NOT_SUPPORT"</formula>
    </cfRule>
  </conditionalFormatting>
  <conditionalFormatting sqref="N122:N123">
    <cfRule type="cellIs" dxfId="169" priority="127" operator="equal">
      <formula>FALSE</formula>
    </cfRule>
    <cfRule type="cellIs" dxfId="168" priority="130" operator="equal">
      <formula>TRUE</formula>
    </cfRule>
  </conditionalFormatting>
  <conditionalFormatting sqref="P84:P85">
    <cfRule type="cellIs" dxfId="167" priority="147" operator="equal">
      <formula>FALSE</formula>
    </cfRule>
    <cfRule type="cellIs" dxfId="166" priority="148" operator="equal">
      <formula>TRUE</formula>
    </cfRule>
  </conditionalFormatting>
  <conditionalFormatting sqref="D84:D85 F84:F85 J84:J85">
    <cfRule type="containsText" dxfId="165" priority="144" operator="containsText" text="ALTERNATE_FE">
      <formula>NOT(ISERROR(SEARCH("ALTERNATE_FE",D84)))</formula>
    </cfRule>
    <cfRule type="cellIs" dxfId="164" priority="145" operator="equal">
      <formula>"Single Band Path"</formula>
    </cfRule>
  </conditionalFormatting>
  <conditionalFormatting sqref="O84:O85">
    <cfRule type="cellIs" dxfId="163" priority="150" operator="equal">
      <formula>"Disable"</formula>
    </cfRule>
    <cfRule type="cellIs" dxfId="162" priority="151" operator="equal">
      <formula>"Enable"</formula>
    </cfRule>
  </conditionalFormatting>
  <conditionalFormatting sqref="T84:T85">
    <cfRule type="containsText" dxfId="161" priority="141" operator="containsText" text="DL">
      <formula>NOT(ISERROR(SEARCH("DL",T84)))</formula>
    </cfRule>
    <cfRule type="containsText" dxfId="160" priority="142" operator="containsText" text="LTE">
      <formula>NOT(ISERROR(SEARCH("LTE",T84)))</formula>
    </cfRule>
    <cfRule type="containsText" dxfId="159" priority="143" operator="containsText" text="UL">
      <formula>NOT(ISERROR(SEARCH("UL",T84)))</formula>
    </cfRule>
  </conditionalFormatting>
  <conditionalFormatting sqref="T84:T85">
    <cfRule type="expression" dxfId="158" priority="140">
      <formula>$BC$5="SW_CAPABILITY_NOT_SUPPORT"</formula>
    </cfRule>
  </conditionalFormatting>
  <conditionalFormatting sqref="N84:N85">
    <cfRule type="cellIs" dxfId="157" priority="138" operator="equal">
      <formula>FALSE</formula>
    </cfRule>
    <cfRule type="cellIs" dxfId="156" priority="139" operator="equal">
      <formula>TRUE</formula>
    </cfRule>
  </conditionalFormatting>
  <conditionalFormatting sqref="R84:S85">
    <cfRule type="containsText" dxfId="155" priority="135" operator="containsText" text="DL">
      <formula>NOT(ISERROR(SEARCH("DL",R84)))</formula>
    </cfRule>
    <cfRule type="containsText" dxfId="154" priority="136" operator="containsText" text="LTE">
      <formula>NOT(ISERROR(SEARCH("LTE",R84)))</formula>
    </cfRule>
    <cfRule type="containsText" dxfId="153" priority="137" operator="containsText" text="UL">
      <formula>NOT(ISERROR(SEARCH("UL",R84)))</formula>
    </cfRule>
  </conditionalFormatting>
  <conditionalFormatting sqref="N165:N166">
    <cfRule type="cellIs" dxfId="152" priority="113" operator="equal">
      <formula>FALSE</formula>
    </cfRule>
    <cfRule type="cellIs" dxfId="151" priority="116" operator="equal">
      <formula>TRUE</formula>
    </cfRule>
  </conditionalFormatting>
  <conditionalFormatting sqref="P122:P123">
    <cfRule type="cellIs" dxfId="150" priority="128" operator="equal">
      <formula>FALSE</formula>
    </cfRule>
    <cfRule type="cellIs" dxfId="149" priority="129" operator="equal">
      <formula>TRUE</formula>
    </cfRule>
  </conditionalFormatting>
  <conditionalFormatting sqref="J122:J123 F122:F123 D122:D123">
    <cfRule type="containsText" dxfId="148" priority="125" operator="containsText" text="ALTERNATE_FE">
      <formula>NOT(ISERROR(SEARCH("ALTERNATE_FE",D122)))</formula>
    </cfRule>
    <cfRule type="cellIs" dxfId="147" priority="126" operator="equal">
      <formula>"Single Band Path"</formula>
    </cfRule>
  </conditionalFormatting>
  <conditionalFormatting sqref="O122:O123">
    <cfRule type="cellIs" dxfId="146" priority="131" operator="equal">
      <formula>"Disable"</formula>
    </cfRule>
    <cfRule type="cellIs" dxfId="145" priority="132" operator="equal">
      <formula>"Enable"</formula>
    </cfRule>
  </conditionalFormatting>
  <conditionalFormatting sqref="R122:T123">
    <cfRule type="containsText" dxfId="144" priority="122" operator="containsText" text="DL">
      <formula>NOT(ISERROR(SEARCH("DL",R122)))</formula>
    </cfRule>
    <cfRule type="containsText" dxfId="143" priority="123" operator="containsText" text="LTE">
      <formula>NOT(ISERROR(SEARCH("LTE",R122)))</formula>
    </cfRule>
    <cfRule type="containsText" dxfId="142" priority="124" operator="containsText" text="UL">
      <formula>NOT(ISERROR(SEARCH("UL",R122)))</formula>
    </cfRule>
  </conditionalFormatting>
  <conditionalFormatting sqref="T122:T123">
    <cfRule type="expression" dxfId="141" priority="121">
      <formula>$BC$5="SW_CAPABILITY_NOT_SUPPORT"</formula>
    </cfRule>
  </conditionalFormatting>
  <conditionalFormatting sqref="N167:N168">
    <cfRule type="cellIs" dxfId="140" priority="99" operator="equal">
      <formula>FALSE</formula>
    </cfRule>
    <cfRule type="cellIs" dxfId="139" priority="102" operator="equal">
      <formula>TRUE</formula>
    </cfRule>
  </conditionalFormatting>
  <conditionalFormatting sqref="P165:P166">
    <cfRule type="cellIs" dxfId="138" priority="114" operator="equal">
      <formula>FALSE</formula>
    </cfRule>
    <cfRule type="cellIs" dxfId="137" priority="115" operator="equal">
      <formula>TRUE</formula>
    </cfRule>
  </conditionalFormatting>
  <conditionalFormatting sqref="J165:J166 F165:F166 D165:D166">
    <cfRule type="containsText" dxfId="136" priority="111" operator="containsText" text="ALTERNATE_FE">
      <formula>NOT(ISERROR(SEARCH("ALTERNATE_FE",D165)))</formula>
    </cfRule>
    <cfRule type="cellIs" dxfId="135" priority="112" operator="equal">
      <formula>"Single Band Path"</formula>
    </cfRule>
  </conditionalFormatting>
  <conditionalFormatting sqref="O165:O166">
    <cfRule type="cellIs" dxfId="134" priority="117" operator="equal">
      <formula>"Disable"</formula>
    </cfRule>
    <cfRule type="cellIs" dxfId="133" priority="118" operator="equal">
      <formula>"Enable"</formula>
    </cfRule>
  </conditionalFormatting>
  <conditionalFormatting sqref="R165:T166">
    <cfRule type="containsText" dxfId="132" priority="108" operator="containsText" text="DL">
      <formula>NOT(ISERROR(SEARCH("DL",R165)))</formula>
    </cfRule>
    <cfRule type="containsText" dxfId="131" priority="109" operator="containsText" text="LTE">
      <formula>NOT(ISERROR(SEARCH("LTE",R165)))</formula>
    </cfRule>
    <cfRule type="containsText" dxfId="130" priority="110" operator="containsText" text="UL">
      <formula>NOT(ISERROR(SEARCH("UL",R165)))</formula>
    </cfRule>
  </conditionalFormatting>
  <conditionalFormatting sqref="T165:T166">
    <cfRule type="expression" dxfId="129" priority="107">
      <formula>$BC$5="SW_CAPABILITY_NOT_SUPPORT"</formula>
    </cfRule>
  </conditionalFormatting>
  <conditionalFormatting sqref="N169:N170">
    <cfRule type="cellIs" dxfId="128" priority="85" operator="equal">
      <formula>FALSE</formula>
    </cfRule>
    <cfRule type="cellIs" dxfId="127" priority="88" operator="equal">
      <formula>TRUE</formula>
    </cfRule>
  </conditionalFormatting>
  <conditionalFormatting sqref="P167:P168">
    <cfRule type="cellIs" dxfId="126" priority="100" operator="equal">
      <formula>FALSE</formula>
    </cfRule>
    <cfRule type="cellIs" dxfId="125" priority="101" operator="equal">
      <formula>TRUE</formula>
    </cfRule>
  </conditionalFormatting>
  <conditionalFormatting sqref="J167:J168 F167:F168 D167:D168">
    <cfRule type="containsText" dxfId="124" priority="97" operator="containsText" text="ALTERNATE_FE">
      <formula>NOT(ISERROR(SEARCH("ALTERNATE_FE",D167)))</formula>
    </cfRule>
    <cfRule type="cellIs" dxfId="123" priority="98" operator="equal">
      <formula>"Single Band Path"</formula>
    </cfRule>
  </conditionalFormatting>
  <conditionalFormatting sqref="O167:O168">
    <cfRule type="cellIs" dxfId="122" priority="103" operator="equal">
      <formula>"Disable"</formula>
    </cfRule>
    <cfRule type="cellIs" dxfId="121" priority="104" operator="equal">
      <formula>"Enable"</formula>
    </cfRule>
  </conditionalFormatting>
  <conditionalFormatting sqref="R167:T168">
    <cfRule type="containsText" dxfId="120" priority="94" operator="containsText" text="DL">
      <formula>NOT(ISERROR(SEARCH("DL",R167)))</formula>
    </cfRule>
    <cfRule type="containsText" dxfId="119" priority="95" operator="containsText" text="LTE">
      <formula>NOT(ISERROR(SEARCH("LTE",R167)))</formula>
    </cfRule>
    <cfRule type="containsText" dxfId="118" priority="96" operator="containsText" text="UL">
      <formula>NOT(ISERROR(SEARCH("UL",R167)))</formula>
    </cfRule>
  </conditionalFormatting>
  <conditionalFormatting sqref="T167:T168">
    <cfRule type="expression" dxfId="117" priority="93">
      <formula>$BC$5="SW_CAPABILITY_NOT_SUPPORT"</formula>
    </cfRule>
  </conditionalFormatting>
  <conditionalFormatting sqref="N194:N195">
    <cfRule type="cellIs" dxfId="116" priority="71" operator="equal">
      <formula>FALSE</formula>
    </cfRule>
    <cfRule type="cellIs" dxfId="115" priority="74" operator="equal">
      <formula>TRUE</formula>
    </cfRule>
  </conditionalFormatting>
  <conditionalFormatting sqref="P169:P170">
    <cfRule type="cellIs" dxfId="114" priority="86" operator="equal">
      <formula>FALSE</formula>
    </cfRule>
    <cfRule type="cellIs" dxfId="113" priority="87" operator="equal">
      <formula>TRUE</formula>
    </cfRule>
  </conditionalFormatting>
  <conditionalFormatting sqref="D169:D170 F169:F170 J169:J170">
    <cfRule type="containsText" dxfId="112" priority="83" operator="containsText" text="ALTERNATE_FE">
      <formula>NOT(ISERROR(SEARCH("ALTERNATE_FE",D169)))</formula>
    </cfRule>
    <cfRule type="cellIs" dxfId="111" priority="84" operator="equal">
      <formula>"Single Band Path"</formula>
    </cfRule>
  </conditionalFormatting>
  <conditionalFormatting sqref="O169:O170">
    <cfRule type="cellIs" dxfId="110" priority="89" operator="equal">
      <formula>"Disable"</formula>
    </cfRule>
    <cfRule type="cellIs" dxfId="109" priority="90" operator="equal">
      <formula>"Enable"</formula>
    </cfRule>
  </conditionalFormatting>
  <conditionalFormatting sqref="R169:T170">
    <cfRule type="containsText" dxfId="108" priority="80" operator="containsText" text="DL">
      <formula>NOT(ISERROR(SEARCH("DL",R169)))</formula>
    </cfRule>
    <cfRule type="containsText" dxfId="107" priority="81" operator="containsText" text="LTE">
      <formula>NOT(ISERROR(SEARCH("LTE",R169)))</formula>
    </cfRule>
    <cfRule type="containsText" dxfId="106" priority="82" operator="containsText" text="UL">
      <formula>NOT(ISERROR(SEARCH("UL",R169)))</formula>
    </cfRule>
  </conditionalFormatting>
  <conditionalFormatting sqref="T169:T170">
    <cfRule type="expression" dxfId="105" priority="79">
      <formula>$BC$5="SW_CAPABILITY_NOT_SUPPORT"</formula>
    </cfRule>
  </conditionalFormatting>
  <conditionalFormatting sqref="P194:P195">
    <cfRule type="cellIs" dxfId="104" priority="72" operator="equal">
      <formula>FALSE</formula>
    </cfRule>
    <cfRule type="cellIs" dxfId="103" priority="73" operator="equal">
      <formula>TRUE</formula>
    </cfRule>
  </conditionalFormatting>
  <conditionalFormatting sqref="J194:J195 F194:F195 D194:D195">
    <cfRule type="containsText" dxfId="102" priority="69" operator="containsText" text="ALTERNATE_FE">
      <formula>NOT(ISERROR(SEARCH("ALTERNATE_FE",D194)))</formula>
    </cfRule>
    <cfRule type="cellIs" dxfId="101" priority="70" operator="equal">
      <formula>"Single Band Path"</formula>
    </cfRule>
  </conditionalFormatting>
  <conditionalFormatting sqref="O194:O195">
    <cfRule type="cellIs" dxfId="100" priority="75" operator="equal">
      <formula>"Disable"</formula>
    </cfRule>
    <cfRule type="cellIs" dxfId="99" priority="76" operator="equal">
      <formula>"Enable"</formula>
    </cfRule>
  </conditionalFormatting>
  <conditionalFormatting sqref="R194:T195">
    <cfRule type="containsText" dxfId="98" priority="66" operator="containsText" text="DL">
      <formula>NOT(ISERROR(SEARCH("DL",R194)))</formula>
    </cfRule>
    <cfRule type="containsText" dxfId="97" priority="67" operator="containsText" text="LTE">
      <formula>NOT(ISERROR(SEARCH("LTE",R194)))</formula>
    </cfRule>
    <cfRule type="containsText" dxfId="96" priority="68" operator="containsText" text="UL">
      <formula>NOT(ISERROR(SEARCH("UL",R194)))</formula>
    </cfRule>
  </conditionalFormatting>
  <conditionalFormatting sqref="T194:T195">
    <cfRule type="expression" dxfId="95" priority="65">
      <formula>$BC$5="SW_CAPABILITY_NOT_SUPPORT"</formula>
    </cfRule>
  </conditionalFormatting>
  <conditionalFormatting sqref="N247">
    <cfRule type="cellIs" dxfId="94" priority="57" operator="equal">
      <formula>FALSE</formula>
    </cfRule>
    <cfRule type="cellIs" dxfId="93" priority="60" operator="equal">
      <formula>TRUE</formula>
    </cfRule>
  </conditionalFormatting>
  <conditionalFormatting sqref="P247">
    <cfRule type="cellIs" dxfId="92" priority="58" operator="equal">
      <formula>FALSE</formula>
    </cfRule>
    <cfRule type="cellIs" dxfId="91" priority="59" operator="equal">
      <formula>TRUE</formula>
    </cfRule>
  </conditionalFormatting>
  <conditionalFormatting sqref="O247">
    <cfRule type="cellIs" dxfId="90" priority="61" operator="equal">
      <formula>"Disable"</formula>
    </cfRule>
    <cfRule type="cellIs" dxfId="89" priority="62" operator="equal">
      <formula>"Enable"</formula>
    </cfRule>
  </conditionalFormatting>
  <conditionalFormatting sqref="R247:T247">
    <cfRule type="containsText" dxfId="88" priority="54" operator="containsText" text="DL">
      <formula>NOT(ISERROR(SEARCH("DL",R247)))</formula>
    </cfRule>
    <cfRule type="containsText" dxfId="87" priority="55" operator="containsText" text="LTE">
      <formula>NOT(ISERROR(SEARCH("LTE",R247)))</formula>
    </cfRule>
    <cfRule type="containsText" dxfId="86" priority="56" operator="containsText" text="UL">
      <formula>NOT(ISERROR(SEARCH("UL",R247)))</formula>
    </cfRule>
  </conditionalFormatting>
  <conditionalFormatting sqref="T247">
    <cfRule type="expression" dxfId="85" priority="53">
      <formula>$BC$5="SW_CAPABILITY_NOT_SUPPORT"</formula>
    </cfRule>
  </conditionalFormatting>
  <conditionalFormatting sqref="P271">
    <cfRule type="cellIs" dxfId="84" priority="48" operator="equal">
      <formula>FALSE</formula>
    </cfRule>
    <cfRule type="cellIs" dxfId="83" priority="49" operator="equal">
      <formula>TRUE</formula>
    </cfRule>
  </conditionalFormatting>
  <conditionalFormatting sqref="O271">
    <cfRule type="cellIs" dxfId="82" priority="51" operator="equal">
      <formula>"Disable"</formula>
    </cfRule>
    <cfRule type="cellIs" dxfId="81" priority="52" operator="equal">
      <formula>"Enable"</formula>
    </cfRule>
  </conditionalFormatting>
  <conditionalFormatting sqref="N271">
    <cfRule type="cellIs" dxfId="80" priority="45" operator="equal">
      <formula>FALSE</formula>
    </cfRule>
    <cfRule type="cellIs" dxfId="79" priority="46" operator="equal">
      <formula>TRUE</formula>
    </cfRule>
  </conditionalFormatting>
  <conditionalFormatting sqref="P132:P133">
    <cfRule type="cellIs" dxfId="78" priority="38" operator="equal">
      <formula>FALSE</formula>
    </cfRule>
    <cfRule type="cellIs" dxfId="77" priority="39" operator="equal">
      <formula>TRUE</formula>
    </cfRule>
  </conditionalFormatting>
  <conditionalFormatting sqref="D132:D133 F132:F133 J132:J133">
    <cfRule type="containsText" dxfId="76" priority="35" operator="containsText" text="ALTERNATE_FE">
      <formula>NOT(ISERROR(SEARCH("ALTERNATE_FE",D132)))</formula>
    </cfRule>
    <cfRule type="cellIs" dxfId="75" priority="36" operator="equal">
      <formula>"Single Band Path"</formula>
    </cfRule>
  </conditionalFormatting>
  <conditionalFormatting sqref="O132:O133">
    <cfRule type="cellIs" dxfId="74" priority="41" operator="equal">
      <formula>"Disable"</formula>
    </cfRule>
    <cfRule type="cellIs" dxfId="73" priority="42" operator="equal">
      <formula>"Enable"</formula>
    </cfRule>
  </conditionalFormatting>
  <conditionalFormatting sqref="R132:T133">
    <cfRule type="containsText" dxfId="72" priority="32" operator="containsText" text="DL">
      <formula>NOT(ISERROR(SEARCH("DL",R132)))</formula>
    </cfRule>
    <cfRule type="containsText" dxfId="71" priority="33" operator="containsText" text="LTE">
      <formula>NOT(ISERROR(SEARCH("LTE",R132)))</formula>
    </cfRule>
    <cfRule type="containsText" dxfId="70" priority="34" operator="containsText" text="UL">
      <formula>NOT(ISERROR(SEARCH("UL",R132)))</formula>
    </cfRule>
  </conditionalFormatting>
  <conditionalFormatting sqref="T132:T133">
    <cfRule type="expression" dxfId="69" priority="31">
      <formula>$BC$5="SW_CAPABILITY_NOT_SUPPORT"</formula>
    </cfRule>
  </conditionalFormatting>
  <conditionalFormatting sqref="N132:N13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39:O256 O260:O286 O19:O231">
      <formula1>EnableDisable</formula1>
    </dataValidation>
    <dataValidation type="list" showInputMessage="1" showErrorMessage="1" sqref="N239:N252 N260:N286 N19:N227">
      <formula1>TrueFalse</formula1>
    </dataValidation>
    <dataValidation type="list" allowBlank="1" showInputMessage="1" showErrorMessage="1" sqref="R239:R252 R19:R227">
      <formula1>ANT_FE_ROUTE_REORG</formula1>
    </dataValidation>
    <dataValidation type="list" allowBlank="1" showInputMessage="1" showErrorMessage="1" sqref="S239:S252 S19:S227">
      <formula1>TAS_FE_ROUTE</formula1>
    </dataValidation>
    <dataValidation type="list" allowBlank="1" showInputMessage="1" showErrorMessage="1" sqref="F19:F227 D19:D227">
      <formula1>RX_ALTER_ROUTE</formula1>
    </dataValidation>
    <dataValidation type="list" allowBlank="1" showInputMessage="1" showErrorMessage="1" sqref="J19:J227">
      <formula1>TX_ALTER_ROUTE</formula1>
    </dataValidation>
    <dataValidation type="list" allowBlank="1" showInputMessage="1" showErrorMessage="1" sqref="T239:T252 T19:T227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3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T210:T221 T80:T83 T86:T121 T124:T131 T171:T193 T196:T207 T134:T154 T157:T158 T161:T164</xm:sqref>
        </x14:conditionalFormatting>
        <x14:conditionalFormatting xmlns:xm="http://schemas.microsoft.com/office/excel/2006/main">
          <x14:cfRule type="expression" priority="604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T239:T246 T248:T250</xm:sqref>
        </x14:conditionalFormatting>
        <x14:conditionalFormatting xmlns:xm="http://schemas.microsoft.com/office/excel/2006/main">
          <x14:cfRule type="expression" priority="605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T239:T246 T210:T227 T80:T83 T86:T121 T124:T131 T171:T193 T196:T207 T248:T252 T134:T154 T157:T158 T161:T164</xm:sqref>
        </x14:conditionalFormatting>
        <x14:conditionalFormatting xmlns:xm="http://schemas.microsoft.com/office/excel/2006/main">
          <x14:cfRule type="expression" priority="180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81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66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7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52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3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33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4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19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20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05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6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91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2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7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8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63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64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43" id="{740E83D2-410D-48E6-B305-E040FE10E2F2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4" id="{54D4F065-4196-4733-9A0E-95877B2CC97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DF0FBCFF-54D3-45BF-A50A-361B3D6D0847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11C4FAA7-D8B2-4B7C-A35A-C1C056A1AE19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DA13C853-9156-4D65-A4F3-19F4E8642244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6BBCE50E-6C7D-42A3-8CEE-24100419F61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1237</v>
      </c>
    </row>
    <row r="3" spans="1:2">
      <c r="A3" s="388" t="s">
        <v>1006</v>
      </c>
    </row>
    <row r="4" spans="1:2" ht="15.75" thickBot="1"/>
    <row r="5" spans="1:2" ht="15.75" thickBot="1">
      <c r="A5" s="6" t="s">
        <v>1238</v>
      </c>
    </row>
    <row r="6" spans="1:2">
      <c r="A6" s="7" t="s">
        <v>1239</v>
      </c>
      <c r="B6" s="2" t="s">
        <v>466</v>
      </c>
    </row>
    <row r="7" spans="1:2">
      <c r="A7" s="8" t="s">
        <v>1240</v>
      </c>
      <c r="B7" s="390" t="s">
        <v>98</v>
      </c>
    </row>
    <row r="8" spans="1:2">
      <c r="A8" s="8" t="s">
        <v>1241</v>
      </c>
      <c r="B8" s="390" t="s">
        <v>15</v>
      </c>
    </row>
    <row r="9" spans="1:2">
      <c r="A9" s="8" t="s">
        <v>1242</v>
      </c>
      <c r="B9" s="390" t="s">
        <v>15</v>
      </c>
    </row>
    <row r="10" spans="1:2">
      <c r="A10" s="8" t="s">
        <v>1243</v>
      </c>
      <c r="B10" s="390" t="s">
        <v>15</v>
      </c>
    </row>
    <row r="11" spans="1:2">
      <c r="A11" s="8" t="s">
        <v>1244</v>
      </c>
      <c r="B11" s="389" t="s">
        <v>15</v>
      </c>
    </row>
  </sheetData>
  <sheetProtection algorithmName="SHA-512" hashValue="otaIs1z7bmxhUe+HWjL8KeXGB5G65+/ELoIr+1b2wwHQd9qUCHs0r/z+h9huRjK3nXMutobd4cwE/wRoE44b+w==" saltValue="ag+mNtNNnb8IdMIPz47k7w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1208</v>
      </c>
    </row>
    <row r="3" spans="1:6">
      <c r="A3" s="145" t="s">
        <v>1209</v>
      </c>
    </row>
    <row r="4" spans="1:6">
      <c r="A4" s="166">
        <v>1</v>
      </c>
    </row>
    <row r="5" spans="1:6" ht="15.75" thickBot="1"/>
    <row r="6" spans="1:6" ht="15.75" thickBot="1">
      <c r="A6" s="15" t="s">
        <v>1210</v>
      </c>
    </row>
    <row r="7" spans="1:6" ht="15.75" thickBot="1">
      <c r="A7" s="15" t="s">
        <v>1211</v>
      </c>
      <c r="B7" s="15" t="s">
        <v>1212</v>
      </c>
      <c r="C7" s="15" t="s">
        <v>1213</v>
      </c>
    </row>
    <row r="8" spans="1:6">
      <c r="A8" s="167" t="s">
        <v>1666</v>
      </c>
      <c r="B8" s="168" t="s">
        <v>1667</v>
      </c>
      <c r="C8" s="169" t="s">
        <v>1668</v>
      </c>
    </row>
    <row r="9" spans="1:6" ht="15.75" thickBot="1"/>
    <row r="10" spans="1:6" ht="15.75" thickBot="1">
      <c r="A10" s="15" t="s">
        <v>1214</v>
      </c>
    </row>
    <row r="11" spans="1:6" ht="15.75" thickBot="1">
      <c r="A11" s="15" t="s">
        <v>1699</v>
      </c>
      <c r="B11" s="15" t="s">
        <v>1700</v>
      </c>
      <c r="C11" s="15" t="s">
        <v>1215</v>
      </c>
      <c r="D11" s="15" t="s">
        <v>1216</v>
      </c>
      <c r="E11" s="15" t="s">
        <v>1217</v>
      </c>
      <c r="F11" s="15" t="s">
        <v>1218</v>
      </c>
    </row>
    <row r="12" spans="1:6">
      <c r="A12" s="390" t="s">
        <v>1669</v>
      </c>
      <c r="B12" s="390" t="s">
        <v>332</v>
      </c>
      <c r="C12" s="170" t="s">
        <v>1219</v>
      </c>
      <c r="D12" s="171" t="s">
        <v>1219</v>
      </c>
      <c r="E12" s="172" t="s">
        <v>1219</v>
      </c>
      <c r="F12" s="173" t="s">
        <v>1219</v>
      </c>
    </row>
    <row r="13" spans="1:6" ht="15.75" thickBot="1"/>
    <row r="14" spans="1:6" ht="15.75" thickBot="1">
      <c r="A14" s="15" t="s">
        <v>1220</v>
      </c>
    </row>
    <row r="15" spans="1:6" ht="15.75" thickBot="1">
      <c r="A15" s="15" t="s">
        <v>1221</v>
      </c>
      <c r="B15" s="15" t="s">
        <v>1222</v>
      </c>
      <c r="C15" s="15" t="s">
        <v>1223</v>
      </c>
      <c r="D15" s="15" t="s">
        <v>1224</v>
      </c>
    </row>
    <row r="16" spans="1:6">
      <c r="A16" s="174" t="s">
        <v>1219</v>
      </c>
      <c r="B16" s="175" t="s">
        <v>1219</v>
      </c>
      <c r="C16" s="176" t="s">
        <v>1219</v>
      </c>
      <c r="D16" s="177" t="s">
        <v>1219</v>
      </c>
    </row>
    <row r="18" spans="1:11" ht="15.75" thickBot="1"/>
    <row r="19" spans="1:11" ht="15.75" thickBot="1">
      <c r="A19" s="15" t="s">
        <v>1225</v>
      </c>
    </row>
    <row r="20" spans="1:11" ht="15.75" thickBot="1">
      <c r="A20" s="146" t="s">
        <v>1226</v>
      </c>
      <c r="B20" s="146" t="s">
        <v>1227</v>
      </c>
      <c r="C20" s="147" t="s">
        <v>1228</v>
      </c>
      <c r="D20" s="147" t="s">
        <v>1229</v>
      </c>
      <c r="E20" s="147" t="s">
        <v>1230</v>
      </c>
      <c r="F20" s="146" t="s">
        <v>1231</v>
      </c>
      <c r="G20" s="147" t="s">
        <v>1232</v>
      </c>
      <c r="H20" s="147" t="s">
        <v>1233</v>
      </c>
      <c r="I20" s="147" t="s">
        <v>1234</v>
      </c>
      <c r="J20" s="148" t="s">
        <v>466</v>
      </c>
      <c r="K20" s="149"/>
    </row>
    <row r="21" spans="1:11">
      <c r="A21" s="434" t="s">
        <v>55</v>
      </c>
      <c r="B21" s="439" t="s">
        <v>1196</v>
      </c>
      <c r="C21" s="178">
        <v>0</v>
      </c>
      <c r="D21" s="181">
        <v>0</v>
      </c>
      <c r="E21" s="184">
        <v>0</v>
      </c>
      <c r="F21" s="439" t="s">
        <v>1196</v>
      </c>
      <c r="G21" s="187">
        <v>0</v>
      </c>
      <c r="H21" s="190">
        <v>0</v>
      </c>
      <c r="I21" s="193">
        <v>0</v>
      </c>
      <c r="J21" s="437" t="str">
        <f>'LTE TRX route'!B10</f>
        <v>LTE_Band1</v>
      </c>
    </row>
    <row r="22" spans="1:11">
      <c r="A22" s="435"/>
      <c r="B22" s="418"/>
      <c r="C22" s="178">
        <v>0</v>
      </c>
      <c r="D22" s="181">
        <v>0</v>
      </c>
      <c r="E22" s="184">
        <v>0</v>
      </c>
      <c r="F22" s="418"/>
      <c r="G22" s="187">
        <v>0</v>
      </c>
      <c r="H22" s="190">
        <v>0</v>
      </c>
      <c r="I22" s="193">
        <v>0</v>
      </c>
      <c r="J22" s="437"/>
    </row>
    <row r="23" spans="1:11">
      <c r="A23" s="435"/>
      <c r="B23" s="418"/>
      <c r="C23" s="178">
        <v>0</v>
      </c>
      <c r="D23" s="181">
        <v>0</v>
      </c>
      <c r="E23" s="184">
        <v>0</v>
      </c>
      <c r="F23" s="418"/>
      <c r="G23" s="187">
        <v>0</v>
      </c>
      <c r="H23" s="190">
        <v>0</v>
      </c>
      <c r="I23" s="193">
        <v>0</v>
      </c>
      <c r="J23" s="437"/>
    </row>
    <row r="24" spans="1:11">
      <c r="A24" s="435"/>
      <c r="B24" s="418"/>
      <c r="C24" s="178">
        <v>0</v>
      </c>
      <c r="D24" s="181">
        <v>0</v>
      </c>
      <c r="E24" s="184">
        <v>0</v>
      </c>
      <c r="F24" s="418"/>
      <c r="G24" s="187">
        <v>0</v>
      </c>
      <c r="H24" s="190">
        <v>0</v>
      </c>
      <c r="I24" s="193">
        <v>0</v>
      </c>
      <c r="J24" s="437"/>
    </row>
    <row r="25" spans="1:11">
      <c r="A25" s="435"/>
      <c r="B25" s="418"/>
      <c r="C25" s="178">
        <v>0</v>
      </c>
      <c r="D25" s="181">
        <v>0</v>
      </c>
      <c r="E25" s="184">
        <v>0</v>
      </c>
      <c r="F25" s="418"/>
      <c r="G25" s="187">
        <v>0</v>
      </c>
      <c r="H25" s="190">
        <v>0</v>
      </c>
      <c r="I25" s="193">
        <v>0</v>
      </c>
      <c r="J25" s="437"/>
    </row>
    <row r="26" spans="1:11" ht="15.75" thickBot="1">
      <c r="A26" s="435"/>
      <c r="B26" s="418"/>
      <c r="C26" s="179">
        <v>0</v>
      </c>
      <c r="D26" s="182">
        <v>0</v>
      </c>
      <c r="E26" s="185">
        <v>0</v>
      </c>
      <c r="F26" s="418"/>
      <c r="G26" s="188">
        <v>0</v>
      </c>
      <c r="H26" s="191">
        <v>0</v>
      </c>
      <c r="I26" s="194">
        <v>0</v>
      </c>
      <c r="J26" s="437"/>
    </row>
    <row r="27" spans="1:11">
      <c r="A27" s="434" t="s">
        <v>56</v>
      </c>
      <c r="B27" s="439" t="s">
        <v>1196</v>
      </c>
      <c r="C27" s="178">
        <v>0</v>
      </c>
      <c r="D27" s="181">
        <v>0</v>
      </c>
      <c r="E27" s="184">
        <v>0</v>
      </c>
      <c r="F27" s="439" t="s">
        <v>1196</v>
      </c>
      <c r="G27" s="187">
        <v>0</v>
      </c>
      <c r="H27" s="190">
        <v>0</v>
      </c>
      <c r="I27" s="193">
        <v>0</v>
      </c>
      <c r="J27" s="437" t="str">
        <f>'LTE TRX route'!B11</f>
        <v>LTE_Band2</v>
      </c>
    </row>
    <row r="28" spans="1:11">
      <c r="A28" s="435"/>
      <c r="B28" s="418"/>
      <c r="C28" s="178">
        <v>0</v>
      </c>
      <c r="D28" s="181">
        <v>0</v>
      </c>
      <c r="E28" s="184">
        <v>0</v>
      </c>
      <c r="F28" s="419"/>
      <c r="G28" s="187">
        <v>0</v>
      </c>
      <c r="H28" s="190">
        <v>0</v>
      </c>
      <c r="I28" s="193">
        <v>0</v>
      </c>
      <c r="J28" s="437"/>
    </row>
    <row r="29" spans="1:11">
      <c r="A29" s="435"/>
      <c r="B29" s="418"/>
      <c r="C29" s="178">
        <v>0</v>
      </c>
      <c r="D29" s="181">
        <v>0</v>
      </c>
      <c r="E29" s="184">
        <v>0</v>
      </c>
      <c r="F29" s="419"/>
      <c r="G29" s="187">
        <v>0</v>
      </c>
      <c r="H29" s="190">
        <v>0</v>
      </c>
      <c r="I29" s="193">
        <v>0</v>
      </c>
      <c r="J29" s="437"/>
    </row>
    <row r="30" spans="1:11">
      <c r="A30" s="435"/>
      <c r="B30" s="418"/>
      <c r="C30" s="178">
        <v>0</v>
      </c>
      <c r="D30" s="181">
        <v>0</v>
      </c>
      <c r="E30" s="184">
        <v>0</v>
      </c>
      <c r="F30" s="419"/>
      <c r="G30" s="187">
        <v>0</v>
      </c>
      <c r="H30" s="190">
        <v>0</v>
      </c>
      <c r="I30" s="193">
        <v>0</v>
      </c>
      <c r="J30" s="437"/>
    </row>
    <row r="31" spans="1:11">
      <c r="A31" s="435"/>
      <c r="B31" s="418"/>
      <c r="C31" s="178">
        <v>0</v>
      </c>
      <c r="D31" s="181">
        <v>0</v>
      </c>
      <c r="E31" s="184">
        <v>0</v>
      </c>
      <c r="F31" s="419"/>
      <c r="G31" s="187">
        <v>0</v>
      </c>
      <c r="H31" s="190">
        <v>0</v>
      </c>
      <c r="I31" s="193">
        <v>0</v>
      </c>
      <c r="J31" s="437"/>
    </row>
    <row r="32" spans="1:11" ht="15.75" thickBot="1">
      <c r="A32" s="435"/>
      <c r="B32" s="418"/>
      <c r="C32" s="179">
        <v>0</v>
      </c>
      <c r="D32" s="182">
        <v>0</v>
      </c>
      <c r="E32" s="185">
        <v>0</v>
      </c>
      <c r="F32" s="440"/>
      <c r="G32" s="188">
        <v>0</v>
      </c>
      <c r="H32" s="191">
        <v>0</v>
      </c>
      <c r="I32" s="194">
        <v>0</v>
      </c>
      <c r="J32" s="437"/>
    </row>
    <row r="33" spans="1:10">
      <c r="A33" s="434" t="s">
        <v>57</v>
      </c>
      <c r="B33" s="439" t="s">
        <v>1196</v>
      </c>
      <c r="C33" s="178">
        <v>0</v>
      </c>
      <c r="D33" s="181">
        <v>0</v>
      </c>
      <c r="E33" s="184">
        <v>0</v>
      </c>
      <c r="F33" s="419" t="s">
        <v>1196</v>
      </c>
      <c r="G33" s="187">
        <v>0</v>
      </c>
      <c r="H33" s="190">
        <v>0</v>
      </c>
      <c r="I33" s="193">
        <v>0</v>
      </c>
      <c r="J33" s="436" t="str">
        <f>'LTE TRX route'!B12</f>
        <v>LTE_Band3</v>
      </c>
    </row>
    <row r="34" spans="1:10">
      <c r="A34" s="435"/>
      <c r="B34" s="418"/>
      <c r="C34" s="178">
        <v>0</v>
      </c>
      <c r="D34" s="181">
        <v>0</v>
      </c>
      <c r="E34" s="184">
        <v>0</v>
      </c>
      <c r="F34" s="419"/>
      <c r="G34" s="187">
        <v>0</v>
      </c>
      <c r="H34" s="190">
        <v>0</v>
      </c>
      <c r="I34" s="193">
        <v>0</v>
      </c>
      <c r="J34" s="437"/>
    </row>
    <row r="35" spans="1:10">
      <c r="A35" s="435"/>
      <c r="B35" s="418"/>
      <c r="C35" s="178">
        <v>0</v>
      </c>
      <c r="D35" s="181">
        <v>0</v>
      </c>
      <c r="E35" s="184">
        <v>0</v>
      </c>
      <c r="F35" s="419"/>
      <c r="G35" s="187">
        <v>0</v>
      </c>
      <c r="H35" s="190">
        <v>0</v>
      </c>
      <c r="I35" s="193">
        <v>0</v>
      </c>
      <c r="J35" s="437"/>
    </row>
    <row r="36" spans="1:10">
      <c r="A36" s="435"/>
      <c r="B36" s="418"/>
      <c r="C36" s="178">
        <v>0</v>
      </c>
      <c r="D36" s="181">
        <v>0</v>
      </c>
      <c r="E36" s="184">
        <v>0</v>
      </c>
      <c r="F36" s="419"/>
      <c r="G36" s="187">
        <v>0</v>
      </c>
      <c r="H36" s="190">
        <v>0</v>
      </c>
      <c r="I36" s="193">
        <v>0</v>
      </c>
      <c r="J36" s="437"/>
    </row>
    <row r="37" spans="1:10">
      <c r="A37" s="435"/>
      <c r="B37" s="418"/>
      <c r="C37" s="178">
        <v>0</v>
      </c>
      <c r="D37" s="181">
        <v>0</v>
      </c>
      <c r="E37" s="184">
        <v>0</v>
      </c>
      <c r="F37" s="419"/>
      <c r="G37" s="187">
        <v>0</v>
      </c>
      <c r="H37" s="190">
        <v>0</v>
      </c>
      <c r="I37" s="193">
        <v>0</v>
      </c>
      <c r="J37" s="437"/>
    </row>
    <row r="38" spans="1:10" ht="15.75" thickBot="1">
      <c r="A38" s="435"/>
      <c r="B38" s="418"/>
      <c r="C38" s="179">
        <v>0</v>
      </c>
      <c r="D38" s="182">
        <v>0</v>
      </c>
      <c r="E38" s="185">
        <v>0</v>
      </c>
      <c r="F38" s="440"/>
      <c r="G38" s="188">
        <v>0</v>
      </c>
      <c r="H38" s="191">
        <v>0</v>
      </c>
      <c r="I38" s="194">
        <v>0</v>
      </c>
      <c r="J38" s="438"/>
    </row>
    <row r="39" spans="1:10">
      <c r="A39" s="434" t="s">
        <v>58</v>
      </c>
      <c r="B39" s="439" t="s">
        <v>1196</v>
      </c>
      <c r="C39" s="178">
        <v>0</v>
      </c>
      <c r="D39" s="181">
        <v>0</v>
      </c>
      <c r="E39" s="184">
        <v>0</v>
      </c>
      <c r="F39" s="419" t="s">
        <v>1196</v>
      </c>
      <c r="G39" s="187">
        <v>0</v>
      </c>
      <c r="H39" s="190">
        <v>0</v>
      </c>
      <c r="I39" s="193">
        <v>0</v>
      </c>
      <c r="J39" s="437" t="str">
        <f>'LTE TRX route'!B13</f>
        <v>LTE_Band4</v>
      </c>
    </row>
    <row r="40" spans="1:10">
      <c r="A40" s="435"/>
      <c r="B40" s="418"/>
      <c r="C40" s="178">
        <v>0</v>
      </c>
      <c r="D40" s="181">
        <v>0</v>
      </c>
      <c r="E40" s="184">
        <v>0</v>
      </c>
      <c r="F40" s="419"/>
      <c r="G40" s="187">
        <v>0</v>
      </c>
      <c r="H40" s="190">
        <v>0</v>
      </c>
      <c r="I40" s="193">
        <v>0</v>
      </c>
      <c r="J40" s="437"/>
    </row>
    <row r="41" spans="1:10">
      <c r="A41" s="435"/>
      <c r="B41" s="418"/>
      <c r="C41" s="178">
        <v>0</v>
      </c>
      <c r="D41" s="181">
        <v>0</v>
      </c>
      <c r="E41" s="184">
        <v>0</v>
      </c>
      <c r="F41" s="419"/>
      <c r="G41" s="187">
        <v>0</v>
      </c>
      <c r="H41" s="190">
        <v>0</v>
      </c>
      <c r="I41" s="193">
        <v>0</v>
      </c>
      <c r="J41" s="437"/>
    </row>
    <row r="42" spans="1:10">
      <c r="A42" s="435"/>
      <c r="B42" s="418"/>
      <c r="C42" s="178">
        <v>0</v>
      </c>
      <c r="D42" s="181">
        <v>0</v>
      </c>
      <c r="E42" s="184">
        <v>0</v>
      </c>
      <c r="F42" s="419"/>
      <c r="G42" s="187">
        <v>0</v>
      </c>
      <c r="H42" s="190">
        <v>0</v>
      </c>
      <c r="I42" s="193">
        <v>0</v>
      </c>
      <c r="J42" s="437"/>
    </row>
    <row r="43" spans="1:10">
      <c r="A43" s="435"/>
      <c r="B43" s="418"/>
      <c r="C43" s="178">
        <v>0</v>
      </c>
      <c r="D43" s="181">
        <v>0</v>
      </c>
      <c r="E43" s="184">
        <v>0</v>
      </c>
      <c r="F43" s="419"/>
      <c r="G43" s="187">
        <v>0</v>
      </c>
      <c r="H43" s="190">
        <v>0</v>
      </c>
      <c r="I43" s="193">
        <v>0</v>
      </c>
      <c r="J43" s="437"/>
    </row>
    <row r="44" spans="1:10" ht="15.75" thickBot="1">
      <c r="A44" s="435"/>
      <c r="B44" s="418"/>
      <c r="C44" s="179">
        <v>0</v>
      </c>
      <c r="D44" s="182">
        <v>0</v>
      </c>
      <c r="E44" s="185">
        <v>0</v>
      </c>
      <c r="F44" s="440"/>
      <c r="G44" s="188">
        <v>0</v>
      </c>
      <c r="H44" s="191">
        <v>0</v>
      </c>
      <c r="I44" s="194">
        <v>0</v>
      </c>
      <c r="J44" s="437"/>
    </row>
    <row r="45" spans="1:10">
      <c r="A45" s="434" t="s">
        <v>59</v>
      </c>
      <c r="B45" s="439" t="s">
        <v>1196</v>
      </c>
      <c r="C45" s="178">
        <v>0</v>
      </c>
      <c r="D45" s="181">
        <v>0</v>
      </c>
      <c r="E45" s="184">
        <v>0</v>
      </c>
      <c r="F45" s="419" t="s">
        <v>1196</v>
      </c>
      <c r="G45" s="187">
        <v>0</v>
      </c>
      <c r="H45" s="190">
        <v>0</v>
      </c>
      <c r="I45" s="193">
        <v>0</v>
      </c>
      <c r="J45" s="436" t="str">
        <f>'LTE TRX route'!B14</f>
        <v>LTE_Band5</v>
      </c>
    </row>
    <row r="46" spans="1:10">
      <c r="A46" s="435"/>
      <c r="B46" s="418"/>
      <c r="C46" s="178">
        <v>0</v>
      </c>
      <c r="D46" s="181">
        <v>0</v>
      </c>
      <c r="E46" s="184">
        <v>0</v>
      </c>
      <c r="F46" s="419"/>
      <c r="G46" s="187">
        <v>0</v>
      </c>
      <c r="H46" s="190">
        <v>0</v>
      </c>
      <c r="I46" s="193">
        <v>0</v>
      </c>
      <c r="J46" s="437"/>
    </row>
    <row r="47" spans="1:10">
      <c r="A47" s="435"/>
      <c r="B47" s="418"/>
      <c r="C47" s="178">
        <v>0</v>
      </c>
      <c r="D47" s="181">
        <v>0</v>
      </c>
      <c r="E47" s="184">
        <v>0</v>
      </c>
      <c r="F47" s="419"/>
      <c r="G47" s="187">
        <v>0</v>
      </c>
      <c r="H47" s="190">
        <v>0</v>
      </c>
      <c r="I47" s="193">
        <v>0</v>
      </c>
      <c r="J47" s="437"/>
    </row>
    <row r="48" spans="1:10">
      <c r="A48" s="435"/>
      <c r="B48" s="418"/>
      <c r="C48" s="178">
        <v>0</v>
      </c>
      <c r="D48" s="181">
        <v>0</v>
      </c>
      <c r="E48" s="184">
        <v>0</v>
      </c>
      <c r="F48" s="419"/>
      <c r="G48" s="187">
        <v>0</v>
      </c>
      <c r="H48" s="190">
        <v>0</v>
      </c>
      <c r="I48" s="193">
        <v>0</v>
      </c>
      <c r="J48" s="437"/>
    </row>
    <row r="49" spans="1:10">
      <c r="A49" s="435"/>
      <c r="B49" s="418"/>
      <c r="C49" s="178">
        <v>0</v>
      </c>
      <c r="D49" s="181">
        <v>0</v>
      </c>
      <c r="E49" s="184">
        <v>0</v>
      </c>
      <c r="F49" s="419"/>
      <c r="G49" s="187">
        <v>0</v>
      </c>
      <c r="H49" s="190">
        <v>0</v>
      </c>
      <c r="I49" s="193">
        <v>0</v>
      </c>
      <c r="J49" s="437"/>
    </row>
    <row r="50" spans="1:10" ht="15.75" thickBot="1">
      <c r="A50" s="435"/>
      <c r="B50" s="418"/>
      <c r="C50" s="179">
        <v>0</v>
      </c>
      <c r="D50" s="182">
        <v>0</v>
      </c>
      <c r="E50" s="185">
        <v>0</v>
      </c>
      <c r="F50" s="440"/>
      <c r="G50" s="188">
        <v>0</v>
      </c>
      <c r="H50" s="191">
        <v>0</v>
      </c>
      <c r="I50" s="194">
        <v>0</v>
      </c>
      <c r="J50" s="438"/>
    </row>
    <row r="51" spans="1:10">
      <c r="A51" s="434" t="s">
        <v>60</v>
      </c>
      <c r="B51" s="439" t="s">
        <v>1196</v>
      </c>
      <c r="C51" s="178">
        <v>0</v>
      </c>
      <c r="D51" s="181">
        <v>0</v>
      </c>
      <c r="E51" s="184">
        <v>0</v>
      </c>
      <c r="F51" s="419" t="s">
        <v>1196</v>
      </c>
      <c r="G51" s="187">
        <v>0</v>
      </c>
      <c r="H51" s="190">
        <v>0</v>
      </c>
      <c r="I51" s="193">
        <v>0</v>
      </c>
      <c r="J51" s="436" t="str">
        <f>'LTE TRX route'!B15</f>
        <v>LTE_Band7</v>
      </c>
    </row>
    <row r="52" spans="1:10">
      <c r="A52" s="435"/>
      <c r="B52" s="418"/>
      <c r="C52" s="178">
        <v>0</v>
      </c>
      <c r="D52" s="181">
        <v>0</v>
      </c>
      <c r="E52" s="184">
        <v>0</v>
      </c>
      <c r="F52" s="419"/>
      <c r="G52" s="187">
        <v>0</v>
      </c>
      <c r="H52" s="190">
        <v>0</v>
      </c>
      <c r="I52" s="193">
        <v>0</v>
      </c>
      <c r="J52" s="437"/>
    </row>
    <row r="53" spans="1:10">
      <c r="A53" s="435"/>
      <c r="B53" s="418"/>
      <c r="C53" s="178">
        <v>0</v>
      </c>
      <c r="D53" s="181">
        <v>0</v>
      </c>
      <c r="E53" s="184">
        <v>0</v>
      </c>
      <c r="F53" s="419"/>
      <c r="G53" s="187">
        <v>0</v>
      </c>
      <c r="H53" s="190">
        <v>0</v>
      </c>
      <c r="I53" s="193">
        <v>0</v>
      </c>
      <c r="J53" s="437"/>
    </row>
    <row r="54" spans="1:10">
      <c r="A54" s="435"/>
      <c r="B54" s="418"/>
      <c r="C54" s="178">
        <v>0</v>
      </c>
      <c r="D54" s="181">
        <v>0</v>
      </c>
      <c r="E54" s="184">
        <v>0</v>
      </c>
      <c r="F54" s="419"/>
      <c r="G54" s="187">
        <v>0</v>
      </c>
      <c r="H54" s="190">
        <v>0</v>
      </c>
      <c r="I54" s="193">
        <v>0</v>
      </c>
      <c r="J54" s="437"/>
    </row>
    <row r="55" spans="1:10">
      <c r="A55" s="435"/>
      <c r="B55" s="418"/>
      <c r="C55" s="178">
        <v>0</v>
      </c>
      <c r="D55" s="181">
        <v>0</v>
      </c>
      <c r="E55" s="184">
        <v>0</v>
      </c>
      <c r="F55" s="419"/>
      <c r="G55" s="187">
        <v>0</v>
      </c>
      <c r="H55" s="190">
        <v>0</v>
      </c>
      <c r="I55" s="193">
        <v>0</v>
      </c>
      <c r="J55" s="437"/>
    </row>
    <row r="56" spans="1:10" ht="15.75" thickBot="1">
      <c r="A56" s="435"/>
      <c r="B56" s="418"/>
      <c r="C56" s="179">
        <v>0</v>
      </c>
      <c r="D56" s="182">
        <v>0</v>
      </c>
      <c r="E56" s="185">
        <v>0</v>
      </c>
      <c r="F56" s="440"/>
      <c r="G56" s="188">
        <v>0</v>
      </c>
      <c r="H56" s="191">
        <v>0</v>
      </c>
      <c r="I56" s="194">
        <v>0</v>
      </c>
      <c r="J56" s="438"/>
    </row>
    <row r="57" spans="1:10">
      <c r="A57" s="434" t="s">
        <v>61</v>
      </c>
      <c r="B57" s="439" t="s">
        <v>1196</v>
      </c>
      <c r="C57" s="178">
        <v>0</v>
      </c>
      <c r="D57" s="181">
        <v>0</v>
      </c>
      <c r="E57" s="184">
        <v>0</v>
      </c>
      <c r="F57" s="419" t="s">
        <v>1196</v>
      </c>
      <c r="G57" s="187">
        <v>0</v>
      </c>
      <c r="H57" s="190">
        <v>0</v>
      </c>
      <c r="I57" s="193">
        <v>0</v>
      </c>
      <c r="J57" s="436" t="str">
        <f>'LTE TRX route'!B16</f>
        <v>LTE_Band8</v>
      </c>
    </row>
    <row r="58" spans="1:10">
      <c r="A58" s="435"/>
      <c r="B58" s="418"/>
      <c r="C58" s="178">
        <v>0</v>
      </c>
      <c r="D58" s="181">
        <v>0</v>
      </c>
      <c r="E58" s="184">
        <v>0</v>
      </c>
      <c r="F58" s="419"/>
      <c r="G58" s="187">
        <v>0</v>
      </c>
      <c r="H58" s="190">
        <v>0</v>
      </c>
      <c r="I58" s="193">
        <v>0</v>
      </c>
      <c r="J58" s="437"/>
    </row>
    <row r="59" spans="1:10">
      <c r="A59" s="435"/>
      <c r="B59" s="418"/>
      <c r="C59" s="178">
        <v>0</v>
      </c>
      <c r="D59" s="181">
        <v>0</v>
      </c>
      <c r="E59" s="184">
        <v>0</v>
      </c>
      <c r="F59" s="419"/>
      <c r="G59" s="187">
        <v>0</v>
      </c>
      <c r="H59" s="190">
        <v>0</v>
      </c>
      <c r="I59" s="193">
        <v>0</v>
      </c>
      <c r="J59" s="437"/>
    </row>
    <row r="60" spans="1:10">
      <c r="A60" s="435"/>
      <c r="B60" s="418"/>
      <c r="C60" s="178">
        <v>0</v>
      </c>
      <c r="D60" s="181">
        <v>0</v>
      </c>
      <c r="E60" s="184">
        <v>0</v>
      </c>
      <c r="F60" s="419"/>
      <c r="G60" s="187">
        <v>0</v>
      </c>
      <c r="H60" s="190">
        <v>0</v>
      </c>
      <c r="I60" s="193">
        <v>0</v>
      </c>
      <c r="J60" s="437"/>
    </row>
    <row r="61" spans="1:10">
      <c r="A61" s="435"/>
      <c r="B61" s="418"/>
      <c r="C61" s="178">
        <v>0</v>
      </c>
      <c r="D61" s="181">
        <v>0</v>
      </c>
      <c r="E61" s="184">
        <v>0</v>
      </c>
      <c r="F61" s="419"/>
      <c r="G61" s="187">
        <v>0</v>
      </c>
      <c r="H61" s="190">
        <v>0</v>
      </c>
      <c r="I61" s="193">
        <v>0</v>
      </c>
      <c r="J61" s="437"/>
    </row>
    <row r="62" spans="1:10" ht="15.75" thickBot="1">
      <c r="A62" s="435"/>
      <c r="B62" s="418"/>
      <c r="C62" s="179">
        <v>0</v>
      </c>
      <c r="D62" s="182">
        <v>0</v>
      </c>
      <c r="E62" s="185">
        <v>0</v>
      </c>
      <c r="F62" s="440"/>
      <c r="G62" s="188">
        <v>0</v>
      </c>
      <c r="H62" s="191">
        <v>0</v>
      </c>
      <c r="I62" s="194">
        <v>0</v>
      </c>
      <c r="J62" s="438"/>
    </row>
    <row r="63" spans="1:10">
      <c r="A63" s="434" t="s">
        <v>62</v>
      </c>
      <c r="B63" s="439" t="s">
        <v>1196</v>
      </c>
      <c r="C63" s="178">
        <v>0</v>
      </c>
      <c r="D63" s="181">
        <v>0</v>
      </c>
      <c r="E63" s="184">
        <v>0</v>
      </c>
      <c r="F63" s="419" t="s">
        <v>1196</v>
      </c>
      <c r="G63" s="187">
        <v>0</v>
      </c>
      <c r="H63" s="190">
        <v>0</v>
      </c>
      <c r="I63" s="193">
        <v>0</v>
      </c>
      <c r="J63" s="436" t="str">
        <f>'LTE TRX route'!B17</f>
        <v>LTE_Band12</v>
      </c>
    </row>
    <row r="64" spans="1:10">
      <c r="A64" s="435"/>
      <c r="B64" s="419"/>
      <c r="C64" s="178">
        <v>0</v>
      </c>
      <c r="D64" s="181">
        <v>0</v>
      </c>
      <c r="E64" s="184">
        <v>0</v>
      </c>
      <c r="F64" s="419"/>
      <c r="G64" s="187">
        <v>0</v>
      </c>
      <c r="H64" s="190">
        <v>0</v>
      </c>
      <c r="I64" s="193">
        <v>0</v>
      </c>
      <c r="J64" s="437"/>
    </row>
    <row r="65" spans="1:10">
      <c r="A65" s="435"/>
      <c r="B65" s="419"/>
      <c r="C65" s="178">
        <v>0</v>
      </c>
      <c r="D65" s="181">
        <v>0</v>
      </c>
      <c r="E65" s="184">
        <v>0</v>
      </c>
      <c r="F65" s="419"/>
      <c r="G65" s="187">
        <v>0</v>
      </c>
      <c r="H65" s="190">
        <v>0</v>
      </c>
      <c r="I65" s="193">
        <v>0</v>
      </c>
      <c r="J65" s="437"/>
    </row>
    <row r="66" spans="1:10">
      <c r="A66" s="435"/>
      <c r="B66" s="419"/>
      <c r="C66" s="178">
        <v>0</v>
      </c>
      <c r="D66" s="181">
        <v>0</v>
      </c>
      <c r="E66" s="184">
        <v>0</v>
      </c>
      <c r="F66" s="419"/>
      <c r="G66" s="187">
        <v>0</v>
      </c>
      <c r="H66" s="190">
        <v>0</v>
      </c>
      <c r="I66" s="193">
        <v>0</v>
      </c>
      <c r="J66" s="437"/>
    </row>
    <row r="67" spans="1:10">
      <c r="A67" s="435"/>
      <c r="B67" s="419"/>
      <c r="C67" s="178">
        <v>0</v>
      </c>
      <c r="D67" s="181">
        <v>0</v>
      </c>
      <c r="E67" s="184">
        <v>0</v>
      </c>
      <c r="F67" s="419"/>
      <c r="G67" s="187">
        <v>0</v>
      </c>
      <c r="H67" s="190">
        <v>0</v>
      </c>
      <c r="I67" s="193">
        <v>0</v>
      </c>
      <c r="J67" s="437"/>
    </row>
    <row r="68" spans="1:10" ht="15.75" thickBot="1">
      <c r="A68" s="435"/>
      <c r="B68" s="440"/>
      <c r="C68" s="179">
        <v>0</v>
      </c>
      <c r="D68" s="182">
        <v>0</v>
      </c>
      <c r="E68" s="185">
        <v>0</v>
      </c>
      <c r="F68" s="440"/>
      <c r="G68" s="188">
        <v>0</v>
      </c>
      <c r="H68" s="191">
        <v>0</v>
      </c>
      <c r="I68" s="194">
        <v>0</v>
      </c>
      <c r="J68" s="438"/>
    </row>
    <row r="69" spans="1:10">
      <c r="A69" s="434" t="s">
        <v>63</v>
      </c>
      <c r="B69" s="419" t="s">
        <v>1196</v>
      </c>
      <c r="C69" s="178">
        <v>0</v>
      </c>
      <c r="D69" s="181">
        <v>0</v>
      </c>
      <c r="E69" s="184">
        <v>0</v>
      </c>
      <c r="F69" s="419" t="s">
        <v>1196</v>
      </c>
      <c r="G69" s="187">
        <v>0</v>
      </c>
      <c r="H69" s="190">
        <v>0</v>
      </c>
      <c r="I69" s="193">
        <v>0</v>
      </c>
      <c r="J69" s="437" t="str">
        <f>'LTE TRX route'!B18</f>
        <v>LTE_Band17</v>
      </c>
    </row>
    <row r="70" spans="1:10">
      <c r="A70" s="435"/>
      <c r="B70" s="419"/>
      <c r="C70" s="178">
        <v>0</v>
      </c>
      <c r="D70" s="181">
        <v>0</v>
      </c>
      <c r="E70" s="184">
        <v>0</v>
      </c>
      <c r="F70" s="419"/>
      <c r="G70" s="187">
        <v>0</v>
      </c>
      <c r="H70" s="190">
        <v>0</v>
      </c>
      <c r="I70" s="193">
        <v>0</v>
      </c>
      <c r="J70" s="437"/>
    </row>
    <row r="71" spans="1:10">
      <c r="A71" s="435"/>
      <c r="B71" s="419"/>
      <c r="C71" s="178">
        <v>0</v>
      </c>
      <c r="D71" s="181">
        <v>0</v>
      </c>
      <c r="E71" s="184">
        <v>0</v>
      </c>
      <c r="F71" s="419"/>
      <c r="G71" s="187">
        <v>0</v>
      </c>
      <c r="H71" s="190">
        <v>0</v>
      </c>
      <c r="I71" s="193">
        <v>0</v>
      </c>
      <c r="J71" s="437"/>
    </row>
    <row r="72" spans="1:10">
      <c r="A72" s="435"/>
      <c r="B72" s="419"/>
      <c r="C72" s="178">
        <v>0</v>
      </c>
      <c r="D72" s="181">
        <v>0</v>
      </c>
      <c r="E72" s="184">
        <v>0</v>
      </c>
      <c r="F72" s="419"/>
      <c r="G72" s="187">
        <v>0</v>
      </c>
      <c r="H72" s="190">
        <v>0</v>
      </c>
      <c r="I72" s="193">
        <v>0</v>
      </c>
      <c r="J72" s="437"/>
    </row>
    <row r="73" spans="1:10">
      <c r="A73" s="435"/>
      <c r="B73" s="419"/>
      <c r="C73" s="178">
        <v>0</v>
      </c>
      <c r="D73" s="181">
        <v>0</v>
      </c>
      <c r="E73" s="184">
        <v>0</v>
      </c>
      <c r="F73" s="419"/>
      <c r="G73" s="187">
        <v>0</v>
      </c>
      <c r="H73" s="190">
        <v>0</v>
      </c>
      <c r="I73" s="193">
        <v>0</v>
      </c>
      <c r="J73" s="437"/>
    </row>
    <row r="74" spans="1:10" ht="15.75" thickBot="1">
      <c r="A74" s="435"/>
      <c r="B74" s="440"/>
      <c r="C74" s="179">
        <v>0</v>
      </c>
      <c r="D74" s="182">
        <v>0</v>
      </c>
      <c r="E74" s="185">
        <v>0</v>
      </c>
      <c r="F74" s="440"/>
      <c r="G74" s="188">
        <v>0</v>
      </c>
      <c r="H74" s="191">
        <v>0</v>
      </c>
      <c r="I74" s="194">
        <v>0</v>
      </c>
      <c r="J74" s="438"/>
    </row>
    <row r="75" spans="1:10">
      <c r="A75" s="434" t="s">
        <v>64</v>
      </c>
      <c r="B75" s="419" t="s">
        <v>1196</v>
      </c>
      <c r="C75" s="178">
        <v>0</v>
      </c>
      <c r="D75" s="181">
        <v>0</v>
      </c>
      <c r="E75" s="184">
        <v>0</v>
      </c>
      <c r="F75" s="419" t="s">
        <v>1196</v>
      </c>
      <c r="G75" s="187">
        <v>0</v>
      </c>
      <c r="H75" s="190">
        <v>0</v>
      </c>
      <c r="I75" s="193">
        <v>0</v>
      </c>
      <c r="J75" s="437" t="str">
        <f>'LTE TRX route'!B19</f>
        <v>LTE_Band20</v>
      </c>
    </row>
    <row r="76" spans="1:10">
      <c r="A76" s="435"/>
      <c r="B76" s="419"/>
      <c r="C76" s="178">
        <v>0</v>
      </c>
      <c r="D76" s="181">
        <v>0</v>
      </c>
      <c r="E76" s="184">
        <v>0</v>
      </c>
      <c r="F76" s="419"/>
      <c r="G76" s="187">
        <v>0</v>
      </c>
      <c r="H76" s="190">
        <v>0</v>
      </c>
      <c r="I76" s="193">
        <v>0</v>
      </c>
      <c r="J76" s="437"/>
    </row>
    <row r="77" spans="1:10">
      <c r="A77" s="435"/>
      <c r="B77" s="419"/>
      <c r="C77" s="178">
        <v>0</v>
      </c>
      <c r="D77" s="181">
        <v>0</v>
      </c>
      <c r="E77" s="184">
        <v>0</v>
      </c>
      <c r="F77" s="419"/>
      <c r="G77" s="187">
        <v>0</v>
      </c>
      <c r="H77" s="190">
        <v>0</v>
      </c>
      <c r="I77" s="193">
        <v>0</v>
      </c>
      <c r="J77" s="437"/>
    </row>
    <row r="78" spans="1:10">
      <c r="A78" s="435"/>
      <c r="B78" s="419"/>
      <c r="C78" s="178">
        <v>0</v>
      </c>
      <c r="D78" s="181">
        <v>0</v>
      </c>
      <c r="E78" s="184">
        <v>0</v>
      </c>
      <c r="F78" s="419"/>
      <c r="G78" s="187">
        <v>0</v>
      </c>
      <c r="H78" s="190">
        <v>0</v>
      </c>
      <c r="I78" s="193">
        <v>0</v>
      </c>
      <c r="J78" s="437"/>
    </row>
    <row r="79" spans="1:10">
      <c r="A79" s="435"/>
      <c r="B79" s="419"/>
      <c r="C79" s="178">
        <v>0</v>
      </c>
      <c r="D79" s="181">
        <v>0</v>
      </c>
      <c r="E79" s="184">
        <v>0</v>
      </c>
      <c r="F79" s="419"/>
      <c r="G79" s="187">
        <v>0</v>
      </c>
      <c r="H79" s="190">
        <v>0</v>
      </c>
      <c r="I79" s="193">
        <v>0</v>
      </c>
      <c r="J79" s="437"/>
    </row>
    <row r="80" spans="1:10" ht="15.75" thickBot="1">
      <c r="A80" s="435"/>
      <c r="B80" s="440"/>
      <c r="C80" s="179">
        <v>0</v>
      </c>
      <c r="D80" s="182">
        <v>0</v>
      </c>
      <c r="E80" s="185">
        <v>0</v>
      </c>
      <c r="F80" s="440"/>
      <c r="G80" s="188">
        <v>0</v>
      </c>
      <c r="H80" s="191">
        <v>0</v>
      </c>
      <c r="I80" s="194">
        <v>0</v>
      </c>
      <c r="J80" s="437"/>
    </row>
    <row r="81" spans="1:10">
      <c r="A81" s="434" t="s">
        <v>65</v>
      </c>
      <c r="B81" s="439" t="s">
        <v>1196</v>
      </c>
      <c r="C81" s="178">
        <v>0</v>
      </c>
      <c r="D81" s="181">
        <v>0</v>
      </c>
      <c r="E81" s="184">
        <v>0</v>
      </c>
      <c r="F81" s="419" t="s">
        <v>1196</v>
      </c>
      <c r="G81" s="187">
        <v>0</v>
      </c>
      <c r="H81" s="190">
        <v>0</v>
      </c>
      <c r="I81" s="193">
        <v>0</v>
      </c>
      <c r="J81" s="436" t="str">
        <f>'LTE TRX route'!B20</f>
        <v>LTE_Band26</v>
      </c>
    </row>
    <row r="82" spans="1:10">
      <c r="A82" s="435"/>
      <c r="B82" s="419"/>
      <c r="C82" s="178">
        <v>0</v>
      </c>
      <c r="D82" s="181">
        <v>0</v>
      </c>
      <c r="E82" s="184">
        <v>0</v>
      </c>
      <c r="F82" s="419"/>
      <c r="G82" s="187">
        <v>0</v>
      </c>
      <c r="H82" s="190">
        <v>0</v>
      </c>
      <c r="I82" s="193">
        <v>0</v>
      </c>
      <c r="J82" s="437"/>
    </row>
    <row r="83" spans="1:10">
      <c r="A83" s="435"/>
      <c r="B83" s="419"/>
      <c r="C83" s="178">
        <v>0</v>
      </c>
      <c r="D83" s="181">
        <v>0</v>
      </c>
      <c r="E83" s="184">
        <v>0</v>
      </c>
      <c r="F83" s="419"/>
      <c r="G83" s="187">
        <v>0</v>
      </c>
      <c r="H83" s="190">
        <v>0</v>
      </c>
      <c r="I83" s="193">
        <v>0</v>
      </c>
      <c r="J83" s="437"/>
    </row>
    <row r="84" spans="1:10">
      <c r="A84" s="435"/>
      <c r="B84" s="419"/>
      <c r="C84" s="178">
        <v>0</v>
      </c>
      <c r="D84" s="181">
        <v>0</v>
      </c>
      <c r="E84" s="184">
        <v>0</v>
      </c>
      <c r="F84" s="419"/>
      <c r="G84" s="187">
        <v>0</v>
      </c>
      <c r="H84" s="190">
        <v>0</v>
      </c>
      <c r="I84" s="193">
        <v>0</v>
      </c>
      <c r="J84" s="437"/>
    </row>
    <row r="85" spans="1:10">
      <c r="A85" s="435"/>
      <c r="B85" s="419"/>
      <c r="C85" s="178">
        <v>0</v>
      </c>
      <c r="D85" s="181">
        <v>0</v>
      </c>
      <c r="E85" s="184">
        <v>0</v>
      </c>
      <c r="F85" s="419"/>
      <c r="G85" s="187">
        <v>0</v>
      </c>
      <c r="H85" s="190">
        <v>0</v>
      </c>
      <c r="I85" s="193">
        <v>0</v>
      </c>
      <c r="J85" s="437"/>
    </row>
    <row r="86" spans="1:10" ht="15.75" thickBot="1">
      <c r="A86" s="435"/>
      <c r="B86" s="440"/>
      <c r="C86" s="179">
        <v>0</v>
      </c>
      <c r="D86" s="182">
        <v>0</v>
      </c>
      <c r="E86" s="185">
        <v>0</v>
      </c>
      <c r="F86" s="440"/>
      <c r="G86" s="188">
        <v>0</v>
      </c>
      <c r="H86" s="191">
        <v>0</v>
      </c>
      <c r="I86" s="194">
        <v>0</v>
      </c>
      <c r="J86" s="438"/>
    </row>
    <row r="87" spans="1:10">
      <c r="A87" s="434" t="s">
        <v>66</v>
      </c>
      <c r="B87" s="419" t="s">
        <v>1196</v>
      </c>
      <c r="C87" s="178">
        <v>0</v>
      </c>
      <c r="D87" s="181">
        <v>0</v>
      </c>
      <c r="E87" s="184">
        <v>0</v>
      </c>
      <c r="F87" s="419" t="s">
        <v>1196</v>
      </c>
      <c r="G87" s="187">
        <v>0</v>
      </c>
      <c r="H87" s="190">
        <v>0</v>
      </c>
      <c r="I87" s="193">
        <v>0</v>
      </c>
      <c r="J87" s="436" t="str">
        <f>'LTE TRX route'!B21</f>
        <v>LTE_Band27</v>
      </c>
    </row>
    <row r="88" spans="1:10">
      <c r="A88" s="435"/>
      <c r="B88" s="419"/>
      <c r="C88" s="178">
        <v>0</v>
      </c>
      <c r="D88" s="181">
        <v>0</v>
      </c>
      <c r="E88" s="184">
        <v>0</v>
      </c>
      <c r="F88" s="419"/>
      <c r="G88" s="187">
        <v>0</v>
      </c>
      <c r="H88" s="190">
        <v>0</v>
      </c>
      <c r="I88" s="193">
        <v>0</v>
      </c>
      <c r="J88" s="437"/>
    </row>
    <row r="89" spans="1:10">
      <c r="A89" s="435"/>
      <c r="B89" s="419"/>
      <c r="C89" s="178">
        <v>0</v>
      </c>
      <c r="D89" s="181">
        <v>0</v>
      </c>
      <c r="E89" s="184">
        <v>0</v>
      </c>
      <c r="F89" s="419"/>
      <c r="G89" s="187">
        <v>0</v>
      </c>
      <c r="H89" s="190">
        <v>0</v>
      </c>
      <c r="I89" s="193">
        <v>0</v>
      </c>
      <c r="J89" s="437"/>
    </row>
    <row r="90" spans="1:10">
      <c r="A90" s="435"/>
      <c r="B90" s="419"/>
      <c r="C90" s="178">
        <v>0</v>
      </c>
      <c r="D90" s="181">
        <v>0</v>
      </c>
      <c r="E90" s="184">
        <v>0</v>
      </c>
      <c r="F90" s="419"/>
      <c r="G90" s="187">
        <v>0</v>
      </c>
      <c r="H90" s="190">
        <v>0</v>
      </c>
      <c r="I90" s="193">
        <v>0</v>
      </c>
      <c r="J90" s="437"/>
    </row>
    <row r="91" spans="1:10">
      <c r="A91" s="435"/>
      <c r="B91" s="419"/>
      <c r="C91" s="178">
        <v>0</v>
      </c>
      <c r="D91" s="181">
        <v>0</v>
      </c>
      <c r="E91" s="184">
        <v>0</v>
      </c>
      <c r="F91" s="419"/>
      <c r="G91" s="187">
        <v>0</v>
      </c>
      <c r="H91" s="190">
        <v>0</v>
      </c>
      <c r="I91" s="193">
        <v>0</v>
      </c>
      <c r="J91" s="437"/>
    </row>
    <row r="92" spans="1:10" ht="15.75" thickBot="1">
      <c r="A92" s="435"/>
      <c r="B92" s="440"/>
      <c r="C92" s="179">
        <v>0</v>
      </c>
      <c r="D92" s="182">
        <v>0</v>
      </c>
      <c r="E92" s="185">
        <v>0</v>
      </c>
      <c r="F92" s="440"/>
      <c r="G92" s="188">
        <v>0</v>
      </c>
      <c r="H92" s="191">
        <v>0</v>
      </c>
      <c r="I92" s="194">
        <v>0</v>
      </c>
      <c r="J92" s="438"/>
    </row>
    <row r="93" spans="1:10">
      <c r="A93" s="434" t="s">
        <v>67</v>
      </c>
      <c r="B93" s="439" t="s">
        <v>1196</v>
      </c>
      <c r="C93" s="178">
        <v>0</v>
      </c>
      <c r="D93" s="181">
        <v>0</v>
      </c>
      <c r="E93" s="184">
        <v>0</v>
      </c>
      <c r="F93" s="419" t="s">
        <v>1196</v>
      </c>
      <c r="G93" s="187">
        <v>0</v>
      </c>
      <c r="H93" s="190">
        <v>0</v>
      </c>
      <c r="I93" s="193">
        <v>0</v>
      </c>
      <c r="J93" s="437" t="str">
        <f>'LTE TRX route'!B22</f>
        <v>LTE_Band28</v>
      </c>
    </row>
    <row r="94" spans="1:10">
      <c r="A94" s="435"/>
      <c r="B94" s="418"/>
      <c r="C94" s="178">
        <v>0</v>
      </c>
      <c r="D94" s="181">
        <v>0</v>
      </c>
      <c r="E94" s="184">
        <v>0</v>
      </c>
      <c r="F94" s="419"/>
      <c r="G94" s="187">
        <v>0</v>
      </c>
      <c r="H94" s="190">
        <v>0</v>
      </c>
      <c r="I94" s="193">
        <v>0</v>
      </c>
      <c r="J94" s="437"/>
    </row>
    <row r="95" spans="1:10">
      <c r="A95" s="435"/>
      <c r="B95" s="418"/>
      <c r="C95" s="178">
        <v>0</v>
      </c>
      <c r="D95" s="181">
        <v>0</v>
      </c>
      <c r="E95" s="184">
        <v>0</v>
      </c>
      <c r="F95" s="419"/>
      <c r="G95" s="187">
        <v>0</v>
      </c>
      <c r="H95" s="190">
        <v>0</v>
      </c>
      <c r="I95" s="193">
        <v>0</v>
      </c>
      <c r="J95" s="437"/>
    </row>
    <row r="96" spans="1:10">
      <c r="A96" s="435"/>
      <c r="B96" s="418"/>
      <c r="C96" s="178">
        <v>0</v>
      </c>
      <c r="D96" s="181">
        <v>0</v>
      </c>
      <c r="E96" s="184">
        <v>0</v>
      </c>
      <c r="F96" s="419"/>
      <c r="G96" s="187">
        <v>0</v>
      </c>
      <c r="H96" s="190">
        <v>0</v>
      </c>
      <c r="I96" s="193">
        <v>0</v>
      </c>
      <c r="J96" s="437"/>
    </row>
    <row r="97" spans="1:10">
      <c r="A97" s="435"/>
      <c r="B97" s="418"/>
      <c r="C97" s="178">
        <v>0</v>
      </c>
      <c r="D97" s="181">
        <v>0</v>
      </c>
      <c r="E97" s="184">
        <v>0</v>
      </c>
      <c r="F97" s="419"/>
      <c r="G97" s="187">
        <v>0</v>
      </c>
      <c r="H97" s="190">
        <v>0</v>
      </c>
      <c r="I97" s="193">
        <v>0</v>
      </c>
      <c r="J97" s="437"/>
    </row>
    <row r="98" spans="1:10" ht="15.75" thickBot="1">
      <c r="A98" s="435"/>
      <c r="B98" s="418"/>
      <c r="C98" s="179">
        <v>0</v>
      </c>
      <c r="D98" s="182">
        <v>0</v>
      </c>
      <c r="E98" s="185">
        <v>0</v>
      </c>
      <c r="F98" s="440"/>
      <c r="G98" s="188">
        <v>0</v>
      </c>
      <c r="H98" s="191">
        <v>0</v>
      </c>
      <c r="I98" s="194">
        <v>0</v>
      </c>
      <c r="J98" s="437"/>
    </row>
    <row r="99" spans="1:10">
      <c r="A99" s="434" t="s">
        <v>68</v>
      </c>
      <c r="B99" s="439" t="s">
        <v>1196</v>
      </c>
      <c r="C99" s="178">
        <v>0</v>
      </c>
      <c r="D99" s="181">
        <v>0</v>
      </c>
      <c r="E99" s="184">
        <v>0</v>
      </c>
      <c r="F99" s="419" t="s">
        <v>1196</v>
      </c>
      <c r="G99" s="187">
        <v>0</v>
      </c>
      <c r="H99" s="190">
        <v>0</v>
      </c>
      <c r="I99" s="193">
        <v>0</v>
      </c>
      <c r="J99" s="436" t="str">
        <f>'LTE TRX route'!B23</f>
        <v>LTE_Band32</v>
      </c>
    </row>
    <row r="100" spans="1:10">
      <c r="A100" s="435"/>
      <c r="B100" s="418"/>
      <c r="C100" s="178">
        <v>0</v>
      </c>
      <c r="D100" s="181">
        <v>0</v>
      </c>
      <c r="E100" s="184">
        <v>0</v>
      </c>
      <c r="F100" s="419"/>
      <c r="G100" s="187">
        <v>0</v>
      </c>
      <c r="H100" s="190">
        <v>0</v>
      </c>
      <c r="I100" s="193">
        <v>0</v>
      </c>
      <c r="J100" s="437"/>
    </row>
    <row r="101" spans="1:10">
      <c r="A101" s="435"/>
      <c r="B101" s="418"/>
      <c r="C101" s="178">
        <v>0</v>
      </c>
      <c r="D101" s="181">
        <v>0</v>
      </c>
      <c r="E101" s="184">
        <v>0</v>
      </c>
      <c r="F101" s="419"/>
      <c r="G101" s="187">
        <v>0</v>
      </c>
      <c r="H101" s="190">
        <v>0</v>
      </c>
      <c r="I101" s="193">
        <v>0</v>
      </c>
      <c r="J101" s="437"/>
    </row>
    <row r="102" spans="1:10">
      <c r="A102" s="435"/>
      <c r="B102" s="418"/>
      <c r="C102" s="178">
        <v>0</v>
      </c>
      <c r="D102" s="181">
        <v>0</v>
      </c>
      <c r="E102" s="184">
        <v>0</v>
      </c>
      <c r="F102" s="419"/>
      <c r="G102" s="187">
        <v>0</v>
      </c>
      <c r="H102" s="190">
        <v>0</v>
      </c>
      <c r="I102" s="193">
        <v>0</v>
      </c>
      <c r="J102" s="437"/>
    </row>
    <row r="103" spans="1:10">
      <c r="A103" s="435"/>
      <c r="B103" s="418"/>
      <c r="C103" s="178">
        <v>0</v>
      </c>
      <c r="D103" s="181">
        <v>0</v>
      </c>
      <c r="E103" s="184">
        <v>0</v>
      </c>
      <c r="F103" s="419"/>
      <c r="G103" s="187">
        <v>0</v>
      </c>
      <c r="H103" s="190">
        <v>0</v>
      </c>
      <c r="I103" s="193">
        <v>0</v>
      </c>
      <c r="J103" s="437"/>
    </row>
    <row r="104" spans="1:10" ht="15.75" thickBot="1">
      <c r="A104" s="435"/>
      <c r="B104" s="418"/>
      <c r="C104" s="179">
        <v>0</v>
      </c>
      <c r="D104" s="182">
        <v>0</v>
      </c>
      <c r="E104" s="185">
        <v>0</v>
      </c>
      <c r="F104" s="440"/>
      <c r="G104" s="188">
        <v>0</v>
      </c>
      <c r="H104" s="191">
        <v>0</v>
      </c>
      <c r="I104" s="194">
        <v>0</v>
      </c>
      <c r="J104" s="438"/>
    </row>
    <row r="105" spans="1:10">
      <c r="A105" s="434" t="s">
        <v>69</v>
      </c>
      <c r="B105" s="439" t="s">
        <v>1196</v>
      </c>
      <c r="C105" s="178">
        <v>0</v>
      </c>
      <c r="D105" s="181">
        <v>0</v>
      </c>
      <c r="E105" s="184">
        <v>0</v>
      </c>
      <c r="F105" s="419" t="s">
        <v>1196</v>
      </c>
      <c r="G105" s="187">
        <v>0</v>
      </c>
      <c r="H105" s="190">
        <v>0</v>
      </c>
      <c r="I105" s="193">
        <v>0</v>
      </c>
      <c r="J105" s="437" t="str">
        <f>'LTE TRX route'!B24</f>
        <v>LTE_Band38</v>
      </c>
    </row>
    <row r="106" spans="1:10">
      <c r="A106" s="435"/>
      <c r="B106" s="418"/>
      <c r="C106" s="178">
        <v>0</v>
      </c>
      <c r="D106" s="181">
        <v>0</v>
      </c>
      <c r="E106" s="184">
        <v>0</v>
      </c>
      <c r="F106" s="419"/>
      <c r="G106" s="187">
        <v>0</v>
      </c>
      <c r="H106" s="190">
        <v>0</v>
      </c>
      <c r="I106" s="193">
        <v>0</v>
      </c>
      <c r="J106" s="437"/>
    </row>
    <row r="107" spans="1:10">
      <c r="A107" s="435"/>
      <c r="B107" s="418"/>
      <c r="C107" s="178">
        <v>0</v>
      </c>
      <c r="D107" s="181">
        <v>0</v>
      </c>
      <c r="E107" s="184">
        <v>0</v>
      </c>
      <c r="F107" s="419"/>
      <c r="G107" s="187">
        <v>0</v>
      </c>
      <c r="H107" s="190">
        <v>0</v>
      </c>
      <c r="I107" s="193">
        <v>0</v>
      </c>
      <c r="J107" s="437"/>
    </row>
    <row r="108" spans="1:10">
      <c r="A108" s="435"/>
      <c r="B108" s="418"/>
      <c r="C108" s="178">
        <v>0</v>
      </c>
      <c r="D108" s="181">
        <v>0</v>
      </c>
      <c r="E108" s="184">
        <v>0</v>
      </c>
      <c r="F108" s="419"/>
      <c r="G108" s="187">
        <v>0</v>
      </c>
      <c r="H108" s="190">
        <v>0</v>
      </c>
      <c r="I108" s="193">
        <v>0</v>
      </c>
      <c r="J108" s="437"/>
    </row>
    <row r="109" spans="1:10">
      <c r="A109" s="435"/>
      <c r="B109" s="418"/>
      <c r="C109" s="178">
        <v>0</v>
      </c>
      <c r="D109" s="181">
        <v>0</v>
      </c>
      <c r="E109" s="184">
        <v>0</v>
      </c>
      <c r="F109" s="419"/>
      <c r="G109" s="187">
        <v>0</v>
      </c>
      <c r="H109" s="190">
        <v>0</v>
      </c>
      <c r="I109" s="193">
        <v>0</v>
      </c>
      <c r="J109" s="437"/>
    </row>
    <row r="110" spans="1:10" ht="15.75" thickBot="1">
      <c r="A110" s="435"/>
      <c r="B110" s="418"/>
      <c r="C110" s="179">
        <v>0</v>
      </c>
      <c r="D110" s="182">
        <v>0</v>
      </c>
      <c r="E110" s="185">
        <v>0</v>
      </c>
      <c r="F110" s="440"/>
      <c r="G110" s="188">
        <v>0</v>
      </c>
      <c r="H110" s="191">
        <v>0</v>
      </c>
      <c r="I110" s="194">
        <v>0</v>
      </c>
      <c r="J110" s="438"/>
    </row>
    <row r="111" spans="1:10">
      <c r="A111" s="434" t="s">
        <v>70</v>
      </c>
      <c r="B111" s="439" t="s">
        <v>1196</v>
      </c>
      <c r="C111" s="178">
        <v>0</v>
      </c>
      <c r="D111" s="181">
        <v>0</v>
      </c>
      <c r="E111" s="184">
        <v>0</v>
      </c>
      <c r="F111" s="419" t="s">
        <v>1196</v>
      </c>
      <c r="G111" s="187">
        <v>0</v>
      </c>
      <c r="H111" s="190">
        <v>0</v>
      </c>
      <c r="I111" s="193">
        <v>0</v>
      </c>
      <c r="J111" s="437" t="str">
        <f>'LTE TRX route'!B25</f>
        <v>LTE_Band39</v>
      </c>
    </row>
    <row r="112" spans="1:10">
      <c r="A112" s="435"/>
      <c r="B112" s="418"/>
      <c r="C112" s="178">
        <v>0</v>
      </c>
      <c r="D112" s="181">
        <v>0</v>
      </c>
      <c r="E112" s="184">
        <v>0</v>
      </c>
      <c r="F112" s="419"/>
      <c r="G112" s="187">
        <v>0</v>
      </c>
      <c r="H112" s="190">
        <v>0</v>
      </c>
      <c r="I112" s="193">
        <v>0</v>
      </c>
      <c r="J112" s="437"/>
    </row>
    <row r="113" spans="1:10">
      <c r="A113" s="435"/>
      <c r="B113" s="418"/>
      <c r="C113" s="178">
        <v>0</v>
      </c>
      <c r="D113" s="181">
        <v>0</v>
      </c>
      <c r="E113" s="184">
        <v>0</v>
      </c>
      <c r="F113" s="419"/>
      <c r="G113" s="187">
        <v>0</v>
      </c>
      <c r="H113" s="190">
        <v>0</v>
      </c>
      <c r="I113" s="193">
        <v>0</v>
      </c>
      <c r="J113" s="437"/>
    </row>
    <row r="114" spans="1:10">
      <c r="A114" s="435"/>
      <c r="B114" s="418"/>
      <c r="C114" s="178">
        <v>0</v>
      </c>
      <c r="D114" s="181">
        <v>0</v>
      </c>
      <c r="E114" s="184">
        <v>0</v>
      </c>
      <c r="F114" s="419"/>
      <c r="G114" s="187">
        <v>0</v>
      </c>
      <c r="H114" s="190">
        <v>0</v>
      </c>
      <c r="I114" s="193">
        <v>0</v>
      </c>
      <c r="J114" s="437"/>
    </row>
    <row r="115" spans="1:10">
      <c r="A115" s="435"/>
      <c r="B115" s="418"/>
      <c r="C115" s="178">
        <v>0</v>
      </c>
      <c r="D115" s="181">
        <v>0</v>
      </c>
      <c r="E115" s="184">
        <v>0</v>
      </c>
      <c r="F115" s="419"/>
      <c r="G115" s="187">
        <v>0</v>
      </c>
      <c r="H115" s="190">
        <v>0</v>
      </c>
      <c r="I115" s="193">
        <v>0</v>
      </c>
      <c r="J115" s="437"/>
    </row>
    <row r="116" spans="1:10" ht="15.75" thickBot="1">
      <c r="A116" s="435"/>
      <c r="B116" s="418"/>
      <c r="C116" s="179">
        <v>0</v>
      </c>
      <c r="D116" s="182">
        <v>0</v>
      </c>
      <c r="E116" s="185">
        <v>0</v>
      </c>
      <c r="F116" s="440"/>
      <c r="G116" s="188">
        <v>0</v>
      </c>
      <c r="H116" s="191">
        <v>0</v>
      </c>
      <c r="I116" s="194">
        <v>0</v>
      </c>
      <c r="J116" s="437"/>
    </row>
    <row r="117" spans="1:10">
      <c r="A117" s="434" t="s">
        <v>71</v>
      </c>
      <c r="B117" s="439" t="s">
        <v>1196</v>
      </c>
      <c r="C117" s="178">
        <v>0</v>
      </c>
      <c r="D117" s="181">
        <v>0</v>
      </c>
      <c r="E117" s="184">
        <v>0</v>
      </c>
      <c r="F117" s="419" t="s">
        <v>1196</v>
      </c>
      <c r="G117" s="187">
        <v>0</v>
      </c>
      <c r="H117" s="190">
        <v>0</v>
      </c>
      <c r="I117" s="193">
        <v>0</v>
      </c>
      <c r="J117" s="436" t="str">
        <f>'LTE TRX route'!B26</f>
        <v>LTE_Band40</v>
      </c>
    </row>
    <row r="118" spans="1:10">
      <c r="A118" s="435"/>
      <c r="B118" s="418"/>
      <c r="C118" s="178">
        <v>0</v>
      </c>
      <c r="D118" s="181">
        <v>0</v>
      </c>
      <c r="E118" s="184">
        <v>0</v>
      </c>
      <c r="F118" s="419"/>
      <c r="G118" s="187">
        <v>0</v>
      </c>
      <c r="H118" s="190">
        <v>0</v>
      </c>
      <c r="I118" s="193">
        <v>0</v>
      </c>
      <c r="J118" s="437"/>
    </row>
    <row r="119" spans="1:10">
      <c r="A119" s="435"/>
      <c r="B119" s="418"/>
      <c r="C119" s="178">
        <v>0</v>
      </c>
      <c r="D119" s="181">
        <v>0</v>
      </c>
      <c r="E119" s="184">
        <v>0</v>
      </c>
      <c r="F119" s="419"/>
      <c r="G119" s="187">
        <v>0</v>
      </c>
      <c r="H119" s="190">
        <v>0</v>
      </c>
      <c r="I119" s="193">
        <v>0</v>
      </c>
      <c r="J119" s="437"/>
    </row>
    <row r="120" spans="1:10">
      <c r="A120" s="435"/>
      <c r="B120" s="418"/>
      <c r="C120" s="178">
        <v>0</v>
      </c>
      <c r="D120" s="181">
        <v>0</v>
      </c>
      <c r="E120" s="184">
        <v>0</v>
      </c>
      <c r="F120" s="419"/>
      <c r="G120" s="187">
        <v>0</v>
      </c>
      <c r="H120" s="190">
        <v>0</v>
      </c>
      <c r="I120" s="193">
        <v>0</v>
      </c>
      <c r="J120" s="437"/>
    </row>
    <row r="121" spans="1:10">
      <c r="A121" s="435"/>
      <c r="B121" s="418"/>
      <c r="C121" s="178">
        <v>0</v>
      </c>
      <c r="D121" s="181">
        <v>0</v>
      </c>
      <c r="E121" s="184">
        <v>0</v>
      </c>
      <c r="F121" s="419"/>
      <c r="G121" s="187">
        <v>0</v>
      </c>
      <c r="H121" s="190">
        <v>0</v>
      </c>
      <c r="I121" s="193">
        <v>0</v>
      </c>
      <c r="J121" s="437"/>
    </row>
    <row r="122" spans="1:10" ht="15.75" thickBot="1">
      <c r="A122" s="435"/>
      <c r="B122" s="418"/>
      <c r="C122" s="179">
        <v>0</v>
      </c>
      <c r="D122" s="182">
        <v>0</v>
      </c>
      <c r="E122" s="185">
        <v>0</v>
      </c>
      <c r="F122" s="440"/>
      <c r="G122" s="188">
        <v>0</v>
      </c>
      <c r="H122" s="191">
        <v>0</v>
      </c>
      <c r="I122" s="194">
        <v>0</v>
      </c>
      <c r="J122" s="438"/>
    </row>
    <row r="123" spans="1:10">
      <c r="A123" s="434" t="s">
        <v>72</v>
      </c>
      <c r="B123" s="439" t="s">
        <v>1196</v>
      </c>
      <c r="C123" s="178">
        <v>0</v>
      </c>
      <c r="D123" s="181">
        <v>0</v>
      </c>
      <c r="E123" s="184">
        <v>0</v>
      </c>
      <c r="F123" s="419" t="s">
        <v>1196</v>
      </c>
      <c r="G123" s="187">
        <v>0</v>
      </c>
      <c r="H123" s="190">
        <v>0</v>
      </c>
      <c r="I123" s="193">
        <v>0</v>
      </c>
      <c r="J123" s="436" t="str">
        <f>'LTE TRX route'!B27</f>
        <v>LTE_Band41</v>
      </c>
    </row>
    <row r="124" spans="1:10">
      <c r="A124" s="435"/>
      <c r="B124" s="419"/>
      <c r="C124" s="178">
        <v>0</v>
      </c>
      <c r="D124" s="181">
        <v>0</v>
      </c>
      <c r="E124" s="184">
        <v>0</v>
      </c>
      <c r="F124" s="419"/>
      <c r="G124" s="187">
        <v>0</v>
      </c>
      <c r="H124" s="190">
        <v>0</v>
      </c>
      <c r="I124" s="193">
        <v>0</v>
      </c>
      <c r="J124" s="437"/>
    </row>
    <row r="125" spans="1:10">
      <c r="A125" s="435"/>
      <c r="B125" s="419"/>
      <c r="C125" s="178">
        <v>0</v>
      </c>
      <c r="D125" s="181">
        <v>0</v>
      </c>
      <c r="E125" s="184">
        <v>0</v>
      </c>
      <c r="F125" s="419"/>
      <c r="G125" s="187">
        <v>0</v>
      </c>
      <c r="H125" s="190">
        <v>0</v>
      </c>
      <c r="I125" s="193">
        <v>0</v>
      </c>
      <c r="J125" s="437"/>
    </row>
    <row r="126" spans="1:10">
      <c r="A126" s="435"/>
      <c r="B126" s="419"/>
      <c r="C126" s="178">
        <v>0</v>
      </c>
      <c r="D126" s="181">
        <v>0</v>
      </c>
      <c r="E126" s="184">
        <v>0</v>
      </c>
      <c r="F126" s="419"/>
      <c r="G126" s="187">
        <v>0</v>
      </c>
      <c r="H126" s="190">
        <v>0</v>
      </c>
      <c r="I126" s="193">
        <v>0</v>
      </c>
      <c r="J126" s="437"/>
    </row>
    <row r="127" spans="1:10">
      <c r="A127" s="435"/>
      <c r="B127" s="419"/>
      <c r="C127" s="178">
        <v>0</v>
      </c>
      <c r="D127" s="181">
        <v>0</v>
      </c>
      <c r="E127" s="184">
        <v>0</v>
      </c>
      <c r="F127" s="419"/>
      <c r="G127" s="187">
        <v>0</v>
      </c>
      <c r="H127" s="190">
        <v>0</v>
      </c>
      <c r="I127" s="193">
        <v>0</v>
      </c>
      <c r="J127" s="437"/>
    </row>
    <row r="128" spans="1:10" ht="15.75" thickBot="1">
      <c r="A128" s="435"/>
      <c r="B128" s="440"/>
      <c r="C128" s="179">
        <v>0</v>
      </c>
      <c r="D128" s="182">
        <v>0</v>
      </c>
      <c r="E128" s="185">
        <v>0</v>
      </c>
      <c r="F128" s="440"/>
      <c r="G128" s="188">
        <v>0</v>
      </c>
      <c r="H128" s="191">
        <v>0</v>
      </c>
      <c r="I128" s="194">
        <v>0</v>
      </c>
      <c r="J128" s="438"/>
    </row>
    <row r="129" spans="1:10">
      <c r="A129" s="434" t="s">
        <v>73</v>
      </c>
      <c r="B129" s="419" t="s">
        <v>1196</v>
      </c>
      <c r="C129" s="178">
        <v>0</v>
      </c>
      <c r="D129" s="181">
        <v>0</v>
      </c>
      <c r="E129" s="184">
        <v>0</v>
      </c>
      <c r="F129" s="419" t="s">
        <v>1196</v>
      </c>
      <c r="G129" s="187">
        <v>0</v>
      </c>
      <c r="H129" s="190">
        <v>0</v>
      </c>
      <c r="I129" s="193">
        <v>0</v>
      </c>
      <c r="J129" s="437" t="str">
        <f>'LTE TRX route'!B28</f>
        <v>LTE_Band34</v>
      </c>
    </row>
    <row r="130" spans="1:10">
      <c r="A130" s="435"/>
      <c r="B130" s="418"/>
      <c r="C130" s="178">
        <v>0</v>
      </c>
      <c r="D130" s="181">
        <v>0</v>
      </c>
      <c r="E130" s="184">
        <v>0</v>
      </c>
      <c r="F130" s="419"/>
      <c r="G130" s="187">
        <v>0</v>
      </c>
      <c r="H130" s="190">
        <v>0</v>
      </c>
      <c r="I130" s="193">
        <v>0</v>
      </c>
      <c r="J130" s="437"/>
    </row>
    <row r="131" spans="1:10">
      <c r="A131" s="435"/>
      <c r="B131" s="418"/>
      <c r="C131" s="178">
        <v>0</v>
      </c>
      <c r="D131" s="181">
        <v>0</v>
      </c>
      <c r="E131" s="184">
        <v>0</v>
      </c>
      <c r="F131" s="419"/>
      <c r="G131" s="187">
        <v>0</v>
      </c>
      <c r="H131" s="190">
        <v>0</v>
      </c>
      <c r="I131" s="193">
        <v>0</v>
      </c>
      <c r="J131" s="437"/>
    </row>
    <row r="132" spans="1:10">
      <c r="A132" s="435"/>
      <c r="B132" s="418"/>
      <c r="C132" s="178">
        <v>0</v>
      </c>
      <c r="D132" s="181">
        <v>0</v>
      </c>
      <c r="E132" s="184">
        <v>0</v>
      </c>
      <c r="F132" s="419"/>
      <c r="G132" s="187">
        <v>0</v>
      </c>
      <c r="H132" s="190">
        <v>0</v>
      </c>
      <c r="I132" s="193">
        <v>0</v>
      </c>
      <c r="J132" s="437"/>
    </row>
    <row r="133" spans="1:10">
      <c r="A133" s="435"/>
      <c r="B133" s="418"/>
      <c r="C133" s="178">
        <v>0</v>
      </c>
      <c r="D133" s="181">
        <v>0</v>
      </c>
      <c r="E133" s="184">
        <v>0</v>
      </c>
      <c r="F133" s="419"/>
      <c r="G133" s="187">
        <v>0</v>
      </c>
      <c r="H133" s="190">
        <v>0</v>
      </c>
      <c r="I133" s="193">
        <v>0</v>
      </c>
      <c r="J133" s="437"/>
    </row>
    <row r="134" spans="1:10" ht="15.75" thickBot="1">
      <c r="A134" s="435"/>
      <c r="B134" s="418"/>
      <c r="C134" s="179">
        <v>0</v>
      </c>
      <c r="D134" s="182">
        <v>0</v>
      </c>
      <c r="E134" s="185">
        <v>0</v>
      </c>
      <c r="F134" s="440"/>
      <c r="G134" s="188">
        <v>0</v>
      </c>
      <c r="H134" s="191">
        <v>0</v>
      </c>
      <c r="I134" s="194">
        <v>0</v>
      </c>
      <c r="J134" s="438"/>
    </row>
    <row r="135" spans="1:10">
      <c r="A135" s="434" t="s">
        <v>74</v>
      </c>
      <c r="B135" s="439" t="s">
        <v>1196</v>
      </c>
      <c r="C135" s="178">
        <v>0</v>
      </c>
      <c r="D135" s="181">
        <v>0</v>
      </c>
      <c r="E135" s="184">
        <v>0</v>
      </c>
      <c r="F135" s="419" t="s">
        <v>1196</v>
      </c>
      <c r="G135" s="187">
        <v>0</v>
      </c>
      <c r="H135" s="190">
        <v>0</v>
      </c>
      <c r="I135" s="193">
        <v>0</v>
      </c>
      <c r="J135" s="437" t="str">
        <f>'LTE TRX route'!B29</f>
        <v>LTE_BandNone</v>
      </c>
    </row>
    <row r="136" spans="1:10">
      <c r="A136" s="435"/>
      <c r="B136" s="418"/>
      <c r="C136" s="178">
        <v>0</v>
      </c>
      <c r="D136" s="181">
        <v>0</v>
      </c>
      <c r="E136" s="184">
        <v>0</v>
      </c>
      <c r="F136" s="419"/>
      <c r="G136" s="187">
        <v>0</v>
      </c>
      <c r="H136" s="190">
        <v>0</v>
      </c>
      <c r="I136" s="193">
        <v>0</v>
      </c>
      <c r="J136" s="437"/>
    </row>
    <row r="137" spans="1:10">
      <c r="A137" s="435"/>
      <c r="B137" s="418"/>
      <c r="C137" s="178">
        <v>0</v>
      </c>
      <c r="D137" s="181">
        <v>0</v>
      </c>
      <c r="E137" s="184">
        <v>0</v>
      </c>
      <c r="F137" s="419"/>
      <c r="G137" s="187">
        <v>0</v>
      </c>
      <c r="H137" s="190">
        <v>0</v>
      </c>
      <c r="I137" s="193">
        <v>0</v>
      </c>
      <c r="J137" s="437"/>
    </row>
    <row r="138" spans="1:10">
      <c r="A138" s="435"/>
      <c r="B138" s="418"/>
      <c r="C138" s="178">
        <v>0</v>
      </c>
      <c r="D138" s="181">
        <v>0</v>
      </c>
      <c r="E138" s="184">
        <v>0</v>
      </c>
      <c r="F138" s="419"/>
      <c r="G138" s="187">
        <v>0</v>
      </c>
      <c r="H138" s="190">
        <v>0</v>
      </c>
      <c r="I138" s="193">
        <v>0</v>
      </c>
      <c r="J138" s="437"/>
    </row>
    <row r="139" spans="1:10">
      <c r="A139" s="435"/>
      <c r="B139" s="418"/>
      <c r="C139" s="178">
        <v>0</v>
      </c>
      <c r="D139" s="181">
        <v>0</v>
      </c>
      <c r="E139" s="184">
        <v>0</v>
      </c>
      <c r="F139" s="419"/>
      <c r="G139" s="187">
        <v>0</v>
      </c>
      <c r="H139" s="190">
        <v>0</v>
      </c>
      <c r="I139" s="193">
        <v>0</v>
      </c>
      <c r="J139" s="437"/>
    </row>
    <row r="140" spans="1:10" ht="15.75" thickBot="1">
      <c r="A140" s="435"/>
      <c r="B140" s="418"/>
      <c r="C140" s="179">
        <v>0</v>
      </c>
      <c r="D140" s="182">
        <v>0</v>
      </c>
      <c r="E140" s="185">
        <v>0</v>
      </c>
      <c r="F140" s="440"/>
      <c r="G140" s="188">
        <v>0</v>
      </c>
      <c r="H140" s="191">
        <v>0</v>
      </c>
      <c r="I140" s="194">
        <v>0</v>
      </c>
      <c r="J140" s="438"/>
    </row>
    <row r="141" spans="1:10">
      <c r="A141" s="434" t="s">
        <v>75</v>
      </c>
      <c r="B141" s="439" t="s">
        <v>1196</v>
      </c>
      <c r="C141" s="178">
        <v>0</v>
      </c>
      <c r="D141" s="181">
        <v>0</v>
      </c>
      <c r="E141" s="184">
        <v>0</v>
      </c>
      <c r="F141" s="419" t="s">
        <v>1196</v>
      </c>
      <c r="G141" s="187">
        <v>0</v>
      </c>
      <c r="H141" s="190">
        <v>0</v>
      </c>
      <c r="I141" s="193">
        <v>0</v>
      </c>
      <c r="J141" s="437" t="str">
        <f>'LTE TRX route'!B30</f>
        <v>LTE_BandNone</v>
      </c>
    </row>
    <row r="142" spans="1:10">
      <c r="A142" s="435"/>
      <c r="B142" s="418"/>
      <c r="C142" s="178">
        <v>0</v>
      </c>
      <c r="D142" s="181">
        <v>0</v>
      </c>
      <c r="E142" s="184">
        <v>0</v>
      </c>
      <c r="F142" s="419"/>
      <c r="G142" s="187">
        <v>0</v>
      </c>
      <c r="H142" s="190">
        <v>0</v>
      </c>
      <c r="I142" s="193">
        <v>0</v>
      </c>
      <c r="J142" s="437"/>
    </row>
    <row r="143" spans="1:10">
      <c r="A143" s="435"/>
      <c r="B143" s="418"/>
      <c r="C143" s="178">
        <v>0</v>
      </c>
      <c r="D143" s="181">
        <v>0</v>
      </c>
      <c r="E143" s="184">
        <v>0</v>
      </c>
      <c r="F143" s="419"/>
      <c r="G143" s="187">
        <v>0</v>
      </c>
      <c r="H143" s="190">
        <v>0</v>
      </c>
      <c r="I143" s="193">
        <v>0</v>
      </c>
      <c r="J143" s="437"/>
    </row>
    <row r="144" spans="1:10">
      <c r="A144" s="435"/>
      <c r="B144" s="418"/>
      <c r="C144" s="178">
        <v>0</v>
      </c>
      <c r="D144" s="181">
        <v>0</v>
      </c>
      <c r="E144" s="184">
        <v>0</v>
      </c>
      <c r="F144" s="419"/>
      <c r="G144" s="187">
        <v>0</v>
      </c>
      <c r="H144" s="190">
        <v>0</v>
      </c>
      <c r="I144" s="193">
        <v>0</v>
      </c>
      <c r="J144" s="437"/>
    </row>
    <row r="145" spans="1:10">
      <c r="A145" s="435"/>
      <c r="B145" s="418"/>
      <c r="C145" s="178">
        <v>0</v>
      </c>
      <c r="D145" s="181">
        <v>0</v>
      </c>
      <c r="E145" s="184">
        <v>0</v>
      </c>
      <c r="F145" s="419"/>
      <c r="G145" s="187">
        <v>0</v>
      </c>
      <c r="H145" s="190">
        <v>0</v>
      </c>
      <c r="I145" s="193">
        <v>0</v>
      </c>
      <c r="J145" s="437"/>
    </row>
    <row r="146" spans="1:10" ht="15.75" thickBot="1">
      <c r="A146" s="435"/>
      <c r="B146" s="418"/>
      <c r="C146" s="179">
        <v>0</v>
      </c>
      <c r="D146" s="182">
        <v>0</v>
      </c>
      <c r="E146" s="185">
        <v>0</v>
      </c>
      <c r="F146" s="440"/>
      <c r="G146" s="188">
        <v>0</v>
      </c>
      <c r="H146" s="191">
        <v>0</v>
      </c>
      <c r="I146" s="194">
        <v>0</v>
      </c>
      <c r="J146" s="437"/>
    </row>
    <row r="147" spans="1:10">
      <c r="A147" s="434" t="s">
        <v>76</v>
      </c>
      <c r="B147" s="439" t="s">
        <v>1196</v>
      </c>
      <c r="C147" s="178">
        <v>0</v>
      </c>
      <c r="D147" s="181">
        <v>0</v>
      </c>
      <c r="E147" s="184">
        <v>0</v>
      </c>
      <c r="F147" s="419" t="s">
        <v>1196</v>
      </c>
      <c r="G147" s="187">
        <v>0</v>
      </c>
      <c r="H147" s="190">
        <v>0</v>
      </c>
      <c r="I147" s="193">
        <v>0</v>
      </c>
      <c r="J147" s="436" t="str">
        <f>'LTE TRX route'!B31</f>
        <v>LTE_BandNone</v>
      </c>
    </row>
    <row r="148" spans="1:10">
      <c r="A148" s="435"/>
      <c r="B148" s="418"/>
      <c r="C148" s="178">
        <v>0</v>
      </c>
      <c r="D148" s="181">
        <v>0</v>
      </c>
      <c r="E148" s="184">
        <v>0</v>
      </c>
      <c r="F148" s="419"/>
      <c r="G148" s="187">
        <v>0</v>
      </c>
      <c r="H148" s="190">
        <v>0</v>
      </c>
      <c r="I148" s="193">
        <v>0</v>
      </c>
      <c r="J148" s="437"/>
    </row>
    <row r="149" spans="1:10">
      <c r="A149" s="435"/>
      <c r="B149" s="418"/>
      <c r="C149" s="178">
        <v>0</v>
      </c>
      <c r="D149" s="181">
        <v>0</v>
      </c>
      <c r="E149" s="184">
        <v>0</v>
      </c>
      <c r="F149" s="419"/>
      <c r="G149" s="187">
        <v>0</v>
      </c>
      <c r="H149" s="190">
        <v>0</v>
      </c>
      <c r="I149" s="193">
        <v>0</v>
      </c>
      <c r="J149" s="437"/>
    </row>
    <row r="150" spans="1:10">
      <c r="A150" s="435"/>
      <c r="B150" s="418"/>
      <c r="C150" s="178">
        <v>0</v>
      </c>
      <c r="D150" s="181">
        <v>0</v>
      </c>
      <c r="E150" s="184">
        <v>0</v>
      </c>
      <c r="F150" s="419"/>
      <c r="G150" s="187">
        <v>0</v>
      </c>
      <c r="H150" s="190">
        <v>0</v>
      </c>
      <c r="I150" s="193">
        <v>0</v>
      </c>
      <c r="J150" s="437"/>
    </row>
    <row r="151" spans="1:10">
      <c r="A151" s="435"/>
      <c r="B151" s="418"/>
      <c r="C151" s="178">
        <v>0</v>
      </c>
      <c r="D151" s="181">
        <v>0</v>
      </c>
      <c r="E151" s="184">
        <v>0</v>
      </c>
      <c r="F151" s="419"/>
      <c r="G151" s="187">
        <v>0</v>
      </c>
      <c r="H151" s="190">
        <v>0</v>
      </c>
      <c r="I151" s="193">
        <v>0</v>
      </c>
      <c r="J151" s="437"/>
    </row>
    <row r="152" spans="1:10" ht="15.75" thickBot="1">
      <c r="A152" s="435"/>
      <c r="B152" s="418"/>
      <c r="C152" s="179">
        <v>0</v>
      </c>
      <c r="D152" s="182">
        <v>0</v>
      </c>
      <c r="E152" s="185">
        <v>0</v>
      </c>
      <c r="F152" s="440"/>
      <c r="G152" s="188">
        <v>0</v>
      </c>
      <c r="H152" s="191">
        <v>0</v>
      </c>
      <c r="I152" s="194">
        <v>0</v>
      </c>
      <c r="J152" s="438"/>
    </row>
    <row r="153" spans="1:10">
      <c r="A153" s="434" t="s">
        <v>77</v>
      </c>
      <c r="B153" s="439" t="s">
        <v>1196</v>
      </c>
      <c r="C153" s="178">
        <v>0</v>
      </c>
      <c r="D153" s="181">
        <v>0</v>
      </c>
      <c r="E153" s="184">
        <v>0</v>
      </c>
      <c r="F153" s="419" t="s">
        <v>1196</v>
      </c>
      <c r="G153" s="187">
        <v>0</v>
      </c>
      <c r="H153" s="190">
        <v>0</v>
      </c>
      <c r="I153" s="193">
        <v>0</v>
      </c>
      <c r="J153" s="436" t="str">
        <f>'LTE TRX route'!B32</f>
        <v>LTE_BandNone</v>
      </c>
    </row>
    <row r="154" spans="1:10">
      <c r="A154" s="435"/>
      <c r="B154" s="418"/>
      <c r="C154" s="178">
        <v>0</v>
      </c>
      <c r="D154" s="181">
        <v>0</v>
      </c>
      <c r="E154" s="184">
        <v>0</v>
      </c>
      <c r="F154" s="419"/>
      <c r="G154" s="187">
        <v>0</v>
      </c>
      <c r="H154" s="190">
        <v>0</v>
      </c>
      <c r="I154" s="193">
        <v>0</v>
      </c>
      <c r="J154" s="437"/>
    </row>
    <row r="155" spans="1:10">
      <c r="A155" s="435"/>
      <c r="B155" s="418"/>
      <c r="C155" s="178">
        <v>0</v>
      </c>
      <c r="D155" s="181">
        <v>0</v>
      </c>
      <c r="E155" s="184">
        <v>0</v>
      </c>
      <c r="F155" s="419"/>
      <c r="G155" s="187">
        <v>0</v>
      </c>
      <c r="H155" s="190">
        <v>0</v>
      </c>
      <c r="I155" s="193">
        <v>0</v>
      </c>
      <c r="J155" s="437"/>
    </row>
    <row r="156" spans="1:10">
      <c r="A156" s="435"/>
      <c r="B156" s="418"/>
      <c r="C156" s="178">
        <v>0</v>
      </c>
      <c r="D156" s="181">
        <v>0</v>
      </c>
      <c r="E156" s="184">
        <v>0</v>
      </c>
      <c r="F156" s="419"/>
      <c r="G156" s="187">
        <v>0</v>
      </c>
      <c r="H156" s="190">
        <v>0</v>
      </c>
      <c r="I156" s="193">
        <v>0</v>
      </c>
      <c r="J156" s="437"/>
    </row>
    <row r="157" spans="1:10">
      <c r="A157" s="435"/>
      <c r="B157" s="418"/>
      <c r="C157" s="178">
        <v>0</v>
      </c>
      <c r="D157" s="181">
        <v>0</v>
      </c>
      <c r="E157" s="184">
        <v>0</v>
      </c>
      <c r="F157" s="419"/>
      <c r="G157" s="187">
        <v>0</v>
      </c>
      <c r="H157" s="190">
        <v>0</v>
      </c>
      <c r="I157" s="193">
        <v>0</v>
      </c>
      <c r="J157" s="437"/>
    </row>
    <row r="158" spans="1:10" ht="15.75" thickBot="1">
      <c r="A158" s="435"/>
      <c r="B158" s="418"/>
      <c r="C158" s="179">
        <v>0</v>
      </c>
      <c r="D158" s="182">
        <v>0</v>
      </c>
      <c r="E158" s="185">
        <v>0</v>
      </c>
      <c r="F158" s="440"/>
      <c r="G158" s="188">
        <v>0</v>
      </c>
      <c r="H158" s="191">
        <v>0</v>
      </c>
      <c r="I158" s="194">
        <v>0</v>
      </c>
      <c r="J158" s="438"/>
    </row>
    <row r="159" spans="1:10">
      <c r="A159" s="434" t="s">
        <v>78</v>
      </c>
      <c r="B159" s="439" t="s">
        <v>1196</v>
      </c>
      <c r="C159" s="178">
        <v>0</v>
      </c>
      <c r="D159" s="181">
        <v>0</v>
      </c>
      <c r="E159" s="184">
        <v>0</v>
      </c>
      <c r="F159" s="419" t="s">
        <v>1196</v>
      </c>
      <c r="G159" s="187">
        <v>0</v>
      </c>
      <c r="H159" s="190">
        <v>0</v>
      </c>
      <c r="I159" s="193">
        <v>0</v>
      </c>
      <c r="J159" s="436" t="str">
        <f>'LTE TRX route'!B33</f>
        <v>LTE_BandNone</v>
      </c>
    </row>
    <row r="160" spans="1:10">
      <c r="A160" s="435"/>
      <c r="B160" s="418"/>
      <c r="C160" s="178">
        <v>0</v>
      </c>
      <c r="D160" s="181">
        <v>0</v>
      </c>
      <c r="E160" s="184">
        <v>0</v>
      </c>
      <c r="F160" s="419"/>
      <c r="G160" s="187">
        <v>0</v>
      </c>
      <c r="H160" s="190">
        <v>0</v>
      </c>
      <c r="I160" s="193">
        <v>0</v>
      </c>
      <c r="J160" s="437"/>
    </row>
    <row r="161" spans="1:11">
      <c r="A161" s="435"/>
      <c r="B161" s="418"/>
      <c r="C161" s="178">
        <v>0</v>
      </c>
      <c r="D161" s="181">
        <v>0</v>
      </c>
      <c r="E161" s="184">
        <v>0</v>
      </c>
      <c r="F161" s="419"/>
      <c r="G161" s="187">
        <v>0</v>
      </c>
      <c r="H161" s="190">
        <v>0</v>
      </c>
      <c r="I161" s="193">
        <v>0</v>
      </c>
      <c r="J161" s="437"/>
    </row>
    <row r="162" spans="1:11">
      <c r="A162" s="435"/>
      <c r="B162" s="418"/>
      <c r="C162" s="178">
        <v>0</v>
      </c>
      <c r="D162" s="181">
        <v>0</v>
      </c>
      <c r="E162" s="184">
        <v>0</v>
      </c>
      <c r="F162" s="419"/>
      <c r="G162" s="187">
        <v>0</v>
      </c>
      <c r="H162" s="190">
        <v>0</v>
      </c>
      <c r="I162" s="193">
        <v>0</v>
      </c>
      <c r="J162" s="437"/>
    </row>
    <row r="163" spans="1:11">
      <c r="A163" s="435"/>
      <c r="B163" s="418"/>
      <c r="C163" s="178">
        <v>0</v>
      </c>
      <c r="D163" s="181">
        <v>0</v>
      </c>
      <c r="E163" s="184">
        <v>0</v>
      </c>
      <c r="F163" s="419"/>
      <c r="G163" s="187">
        <v>0</v>
      </c>
      <c r="H163" s="190">
        <v>0</v>
      </c>
      <c r="I163" s="193">
        <v>0</v>
      </c>
      <c r="J163" s="437"/>
    </row>
    <row r="164" spans="1:11" ht="15.75" thickBot="1">
      <c r="A164" s="435"/>
      <c r="B164" s="418"/>
      <c r="C164" s="179">
        <v>0</v>
      </c>
      <c r="D164" s="182">
        <v>0</v>
      </c>
      <c r="E164" s="185">
        <v>0</v>
      </c>
      <c r="F164" s="440"/>
      <c r="G164" s="188">
        <v>0</v>
      </c>
      <c r="H164" s="191">
        <v>0</v>
      </c>
      <c r="I164" s="194">
        <v>0</v>
      </c>
      <c r="J164" s="438"/>
    </row>
    <row r="165" spans="1:11">
      <c r="A165" s="434" t="s">
        <v>79</v>
      </c>
      <c r="B165" s="439" t="s">
        <v>1196</v>
      </c>
      <c r="C165" s="178">
        <v>0</v>
      </c>
      <c r="D165" s="181">
        <v>0</v>
      </c>
      <c r="E165" s="184">
        <v>0</v>
      </c>
      <c r="F165" s="419" t="s">
        <v>1196</v>
      </c>
      <c r="G165" s="187">
        <v>0</v>
      </c>
      <c r="H165" s="190">
        <v>0</v>
      </c>
      <c r="I165" s="193">
        <v>0</v>
      </c>
      <c r="J165" s="436" t="str">
        <f>'LTE TRX route'!B34</f>
        <v>LTE_BandNone</v>
      </c>
    </row>
    <row r="166" spans="1:11">
      <c r="A166" s="435"/>
      <c r="B166" s="418"/>
      <c r="C166" s="178">
        <v>0</v>
      </c>
      <c r="D166" s="181">
        <v>0</v>
      </c>
      <c r="E166" s="184">
        <v>0</v>
      </c>
      <c r="F166" s="418"/>
      <c r="G166" s="187">
        <v>0</v>
      </c>
      <c r="H166" s="190">
        <v>0</v>
      </c>
      <c r="I166" s="193">
        <v>0</v>
      </c>
      <c r="J166" s="437"/>
    </row>
    <row r="167" spans="1:11">
      <c r="A167" s="435"/>
      <c r="B167" s="418"/>
      <c r="C167" s="178">
        <v>0</v>
      </c>
      <c r="D167" s="181">
        <v>0</v>
      </c>
      <c r="E167" s="184">
        <v>0</v>
      </c>
      <c r="F167" s="418"/>
      <c r="G167" s="187">
        <v>0</v>
      </c>
      <c r="H167" s="190">
        <v>0</v>
      </c>
      <c r="I167" s="193">
        <v>0</v>
      </c>
      <c r="J167" s="437"/>
    </row>
    <row r="168" spans="1:11">
      <c r="A168" s="435"/>
      <c r="B168" s="418"/>
      <c r="C168" s="178">
        <v>0</v>
      </c>
      <c r="D168" s="181">
        <v>0</v>
      </c>
      <c r="E168" s="184">
        <v>0</v>
      </c>
      <c r="F168" s="418"/>
      <c r="G168" s="187">
        <v>0</v>
      </c>
      <c r="H168" s="190">
        <v>0</v>
      </c>
      <c r="I168" s="193">
        <v>0</v>
      </c>
      <c r="J168" s="437"/>
    </row>
    <row r="169" spans="1:11">
      <c r="A169" s="435"/>
      <c r="B169" s="418"/>
      <c r="C169" s="178">
        <v>0</v>
      </c>
      <c r="D169" s="181">
        <v>0</v>
      </c>
      <c r="E169" s="184">
        <v>0</v>
      </c>
      <c r="F169" s="418"/>
      <c r="G169" s="187">
        <v>0</v>
      </c>
      <c r="H169" s="190">
        <v>0</v>
      </c>
      <c r="I169" s="193">
        <v>0</v>
      </c>
      <c r="J169" s="437"/>
    </row>
    <row r="170" spans="1:11" ht="15.75" thickBot="1">
      <c r="A170" s="435"/>
      <c r="B170" s="418"/>
      <c r="C170" s="180">
        <v>0</v>
      </c>
      <c r="D170" s="183">
        <v>0</v>
      </c>
      <c r="E170" s="186">
        <v>0</v>
      </c>
      <c r="F170" s="418"/>
      <c r="G170" s="189">
        <v>0</v>
      </c>
      <c r="H170" s="192">
        <v>0</v>
      </c>
      <c r="I170" s="195">
        <v>0</v>
      </c>
      <c r="J170" s="438"/>
    </row>
    <row r="171" spans="1:11" ht="15.75" thickBot="1">
      <c r="A171" s="146" t="s">
        <v>1235</v>
      </c>
      <c r="B171" s="146" t="s">
        <v>1227</v>
      </c>
      <c r="C171" s="147" t="s">
        <v>1228</v>
      </c>
      <c r="D171" s="147" t="s">
        <v>1229</v>
      </c>
      <c r="E171" s="147" t="s">
        <v>1230</v>
      </c>
      <c r="F171" s="146" t="s">
        <v>1231</v>
      </c>
      <c r="G171" s="147" t="s">
        <v>1232</v>
      </c>
      <c r="H171" s="147" t="s">
        <v>1233</v>
      </c>
      <c r="I171" s="147" t="s">
        <v>1234</v>
      </c>
      <c r="J171" s="148" t="s">
        <v>466</v>
      </c>
      <c r="K171" s="149"/>
    </row>
    <row r="172" spans="1:11">
      <c r="A172" s="434" t="s">
        <v>609</v>
      </c>
      <c r="B172" s="439" t="s">
        <v>1196</v>
      </c>
      <c r="C172" s="196">
        <v>0</v>
      </c>
      <c r="D172" s="199">
        <v>0</v>
      </c>
      <c r="E172" s="202">
        <v>0</v>
      </c>
      <c r="F172" s="439" t="s">
        <v>1196</v>
      </c>
      <c r="G172" s="205">
        <v>0</v>
      </c>
      <c r="H172" s="208">
        <v>0</v>
      </c>
      <c r="I172" s="211">
        <v>0</v>
      </c>
      <c r="J172" s="437" t="s">
        <v>15</v>
      </c>
    </row>
    <row r="173" spans="1:11">
      <c r="A173" s="435"/>
      <c r="B173" s="419"/>
      <c r="C173" s="196">
        <v>0</v>
      </c>
      <c r="D173" s="199">
        <v>0</v>
      </c>
      <c r="E173" s="202">
        <v>0</v>
      </c>
      <c r="F173" s="419"/>
      <c r="G173" s="205">
        <v>0</v>
      </c>
      <c r="H173" s="208">
        <v>0</v>
      </c>
      <c r="I173" s="211">
        <v>0</v>
      </c>
      <c r="J173" s="437"/>
    </row>
    <row r="174" spans="1:11">
      <c r="A174" s="435"/>
      <c r="B174" s="419"/>
      <c r="C174" s="196">
        <v>0</v>
      </c>
      <c r="D174" s="199">
        <v>0</v>
      </c>
      <c r="E174" s="202">
        <v>0</v>
      </c>
      <c r="F174" s="419"/>
      <c r="G174" s="205">
        <v>0</v>
      </c>
      <c r="H174" s="208">
        <v>0</v>
      </c>
      <c r="I174" s="211">
        <v>0</v>
      </c>
      <c r="J174" s="437"/>
    </row>
    <row r="175" spans="1:11">
      <c r="A175" s="435"/>
      <c r="B175" s="419"/>
      <c r="C175" s="196">
        <v>0</v>
      </c>
      <c r="D175" s="199">
        <v>0</v>
      </c>
      <c r="E175" s="202">
        <v>0</v>
      </c>
      <c r="F175" s="419"/>
      <c r="G175" s="205">
        <v>0</v>
      </c>
      <c r="H175" s="208">
        <v>0</v>
      </c>
      <c r="I175" s="211">
        <v>0</v>
      </c>
      <c r="J175" s="437"/>
    </row>
    <row r="176" spans="1:11">
      <c r="A176" s="435"/>
      <c r="B176" s="419"/>
      <c r="C176" s="196">
        <v>0</v>
      </c>
      <c r="D176" s="199">
        <v>0</v>
      </c>
      <c r="E176" s="202">
        <v>0</v>
      </c>
      <c r="F176" s="419"/>
      <c r="G176" s="205">
        <v>0</v>
      </c>
      <c r="H176" s="208">
        <v>0</v>
      </c>
      <c r="I176" s="211">
        <v>0</v>
      </c>
      <c r="J176" s="437"/>
    </row>
    <row r="177" spans="1:10" ht="15.75" thickBot="1">
      <c r="A177" s="435"/>
      <c r="B177" s="440"/>
      <c r="C177" s="197">
        <v>0</v>
      </c>
      <c r="D177" s="200">
        <v>0</v>
      </c>
      <c r="E177" s="203">
        <v>0</v>
      </c>
      <c r="F177" s="440"/>
      <c r="G177" s="206">
        <v>0</v>
      </c>
      <c r="H177" s="209">
        <v>0</v>
      </c>
      <c r="I177" s="212">
        <v>0</v>
      </c>
      <c r="J177" s="437"/>
    </row>
    <row r="178" spans="1:10">
      <c r="A178" s="434" t="s">
        <v>610</v>
      </c>
      <c r="B178" s="419" t="s">
        <v>1196</v>
      </c>
      <c r="C178" s="196">
        <v>0</v>
      </c>
      <c r="D178" s="199">
        <v>0</v>
      </c>
      <c r="E178" s="202">
        <v>0</v>
      </c>
      <c r="F178" s="419" t="s">
        <v>1196</v>
      </c>
      <c r="G178" s="205">
        <v>0</v>
      </c>
      <c r="H178" s="208">
        <v>0</v>
      </c>
      <c r="I178" s="211">
        <v>0</v>
      </c>
      <c r="J178" s="436" t="s">
        <v>15</v>
      </c>
    </row>
    <row r="179" spans="1:10">
      <c r="A179" s="435"/>
      <c r="B179" s="419"/>
      <c r="C179" s="196">
        <v>0</v>
      </c>
      <c r="D179" s="199">
        <v>0</v>
      </c>
      <c r="E179" s="202">
        <v>0</v>
      </c>
      <c r="F179" s="419"/>
      <c r="G179" s="205">
        <v>0</v>
      </c>
      <c r="H179" s="208">
        <v>0</v>
      </c>
      <c r="I179" s="211">
        <v>0</v>
      </c>
      <c r="J179" s="437"/>
    </row>
    <row r="180" spans="1:10">
      <c r="A180" s="435"/>
      <c r="B180" s="419"/>
      <c r="C180" s="196">
        <v>0</v>
      </c>
      <c r="D180" s="199">
        <v>0</v>
      </c>
      <c r="E180" s="202">
        <v>0</v>
      </c>
      <c r="F180" s="419"/>
      <c r="G180" s="205">
        <v>0</v>
      </c>
      <c r="H180" s="208">
        <v>0</v>
      </c>
      <c r="I180" s="211">
        <v>0</v>
      </c>
      <c r="J180" s="437"/>
    </row>
    <row r="181" spans="1:10">
      <c r="A181" s="435"/>
      <c r="B181" s="419"/>
      <c r="C181" s="196">
        <v>0</v>
      </c>
      <c r="D181" s="199">
        <v>0</v>
      </c>
      <c r="E181" s="202">
        <v>0</v>
      </c>
      <c r="F181" s="419"/>
      <c r="G181" s="205">
        <v>0</v>
      </c>
      <c r="H181" s="208">
        <v>0</v>
      </c>
      <c r="I181" s="211">
        <v>0</v>
      </c>
      <c r="J181" s="437"/>
    </row>
    <row r="182" spans="1:10">
      <c r="A182" s="435"/>
      <c r="B182" s="419"/>
      <c r="C182" s="196">
        <v>0</v>
      </c>
      <c r="D182" s="199">
        <v>0</v>
      </c>
      <c r="E182" s="202">
        <v>0</v>
      </c>
      <c r="F182" s="419"/>
      <c r="G182" s="205">
        <v>0</v>
      </c>
      <c r="H182" s="208">
        <v>0</v>
      </c>
      <c r="I182" s="211">
        <v>0</v>
      </c>
      <c r="J182" s="437"/>
    </row>
    <row r="183" spans="1:10" ht="15.75" thickBot="1">
      <c r="A183" s="435"/>
      <c r="B183" s="440"/>
      <c r="C183" s="197">
        <v>0</v>
      </c>
      <c r="D183" s="200">
        <v>0</v>
      </c>
      <c r="E183" s="203">
        <v>0</v>
      </c>
      <c r="F183" s="440"/>
      <c r="G183" s="206">
        <v>0</v>
      </c>
      <c r="H183" s="209">
        <v>0</v>
      </c>
      <c r="I183" s="212">
        <v>0</v>
      </c>
      <c r="J183" s="438"/>
    </row>
    <row r="184" spans="1:10">
      <c r="A184" s="434" t="s">
        <v>611</v>
      </c>
      <c r="B184" s="419" t="s">
        <v>1196</v>
      </c>
      <c r="C184" s="196">
        <v>0</v>
      </c>
      <c r="D184" s="199">
        <v>0</v>
      </c>
      <c r="E184" s="202">
        <v>0</v>
      </c>
      <c r="F184" s="419" t="s">
        <v>1196</v>
      </c>
      <c r="G184" s="205">
        <v>0</v>
      </c>
      <c r="H184" s="208">
        <v>0</v>
      </c>
      <c r="I184" s="211">
        <v>0</v>
      </c>
      <c r="J184" s="436" t="s">
        <v>15</v>
      </c>
    </row>
    <row r="185" spans="1:10">
      <c r="A185" s="435"/>
      <c r="B185" s="418"/>
      <c r="C185" s="196">
        <v>0</v>
      </c>
      <c r="D185" s="199">
        <v>0</v>
      </c>
      <c r="E185" s="202">
        <v>0</v>
      </c>
      <c r="F185" s="419"/>
      <c r="G185" s="205">
        <v>0</v>
      </c>
      <c r="H185" s="208">
        <v>0</v>
      </c>
      <c r="I185" s="211">
        <v>0</v>
      </c>
      <c r="J185" s="437"/>
    </row>
    <row r="186" spans="1:10">
      <c r="A186" s="435"/>
      <c r="B186" s="418"/>
      <c r="C186" s="196">
        <v>0</v>
      </c>
      <c r="D186" s="199">
        <v>0</v>
      </c>
      <c r="E186" s="202">
        <v>0</v>
      </c>
      <c r="F186" s="419"/>
      <c r="G186" s="205">
        <v>0</v>
      </c>
      <c r="H186" s="208">
        <v>0</v>
      </c>
      <c r="I186" s="211">
        <v>0</v>
      </c>
      <c r="J186" s="437"/>
    </row>
    <row r="187" spans="1:10">
      <c r="A187" s="435"/>
      <c r="B187" s="418"/>
      <c r="C187" s="196">
        <v>0</v>
      </c>
      <c r="D187" s="199">
        <v>0</v>
      </c>
      <c r="E187" s="202">
        <v>0</v>
      </c>
      <c r="F187" s="419"/>
      <c r="G187" s="205">
        <v>0</v>
      </c>
      <c r="H187" s="208">
        <v>0</v>
      </c>
      <c r="I187" s="211">
        <v>0</v>
      </c>
      <c r="J187" s="437"/>
    </row>
    <row r="188" spans="1:10">
      <c r="A188" s="435"/>
      <c r="B188" s="418"/>
      <c r="C188" s="196">
        <v>0</v>
      </c>
      <c r="D188" s="199">
        <v>0</v>
      </c>
      <c r="E188" s="202">
        <v>0</v>
      </c>
      <c r="F188" s="419"/>
      <c r="G188" s="205">
        <v>0</v>
      </c>
      <c r="H188" s="208">
        <v>0</v>
      </c>
      <c r="I188" s="211">
        <v>0</v>
      </c>
      <c r="J188" s="437"/>
    </row>
    <row r="189" spans="1:10" ht="15.75" thickBot="1">
      <c r="A189" s="435"/>
      <c r="B189" s="418"/>
      <c r="C189" s="197">
        <v>0</v>
      </c>
      <c r="D189" s="200">
        <v>0</v>
      </c>
      <c r="E189" s="203">
        <v>0</v>
      </c>
      <c r="F189" s="440"/>
      <c r="G189" s="206">
        <v>0</v>
      </c>
      <c r="H189" s="209">
        <v>0</v>
      </c>
      <c r="I189" s="212">
        <v>0</v>
      </c>
      <c r="J189" s="438"/>
    </row>
    <row r="190" spans="1:10">
      <c r="A190" s="434" t="s">
        <v>612</v>
      </c>
      <c r="B190" s="439" t="s">
        <v>1196</v>
      </c>
      <c r="C190" s="196">
        <v>0</v>
      </c>
      <c r="D190" s="199">
        <v>0</v>
      </c>
      <c r="E190" s="202">
        <v>0</v>
      </c>
      <c r="F190" s="419" t="s">
        <v>1196</v>
      </c>
      <c r="G190" s="205">
        <v>0</v>
      </c>
      <c r="H190" s="208">
        <v>0</v>
      </c>
      <c r="I190" s="211">
        <v>0</v>
      </c>
      <c r="J190" s="436" t="s">
        <v>15</v>
      </c>
    </row>
    <row r="191" spans="1:10">
      <c r="A191" s="435"/>
      <c r="B191" s="418"/>
      <c r="C191" s="196">
        <v>0</v>
      </c>
      <c r="D191" s="199">
        <v>0</v>
      </c>
      <c r="E191" s="202">
        <v>0</v>
      </c>
      <c r="F191" s="419"/>
      <c r="G191" s="205">
        <v>0</v>
      </c>
      <c r="H191" s="208">
        <v>0</v>
      </c>
      <c r="I191" s="211">
        <v>0</v>
      </c>
      <c r="J191" s="437"/>
    </row>
    <row r="192" spans="1:10">
      <c r="A192" s="435"/>
      <c r="B192" s="418"/>
      <c r="C192" s="196">
        <v>0</v>
      </c>
      <c r="D192" s="199">
        <v>0</v>
      </c>
      <c r="E192" s="202">
        <v>0</v>
      </c>
      <c r="F192" s="419"/>
      <c r="G192" s="205">
        <v>0</v>
      </c>
      <c r="H192" s="208">
        <v>0</v>
      </c>
      <c r="I192" s="211">
        <v>0</v>
      </c>
      <c r="J192" s="437"/>
    </row>
    <row r="193" spans="1:10">
      <c r="A193" s="435"/>
      <c r="B193" s="418"/>
      <c r="C193" s="196">
        <v>0</v>
      </c>
      <c r="D193" s="199">
        <v>0</v>
      </c>
      <c r="E193" s="202">
        <v>0</v>
      </c>
      <c r="F193" s="419"/>
      <c r="G193" s="205">
        <v>0</v>
      </c>
      <c r="H193" s="208">
        <v>0</v>
      </c>
      <c r="I193" s="211">
        <v>0</v>
      </c>
      <c r="J193" s="437"/>
    </row>
    <row r="194" spans="1:10">
      <c r="A194" s="435"/>
      <c r="B194" s="418"/>
      <c r="C194" s="196">
        <v>0</v>
      </c>
      <c r="D194" s="199">
        <v>0</v>
      </c>
      <c r="E194" s="202">
        <v>0</v>
      </c>
      <c r="F194" s="419"/>
      <c r="G194" s="205">
        <v>0</v>
      </c>
      <c r="H194" s="208">
        <v>0</v>
      </c>
      <c r="I194" s="211">
        <v>0</v>
      </c>
      <c r="J194" s="437"/>
    </row>
    <row r="195" spans="1:10" ht="15.75" thickBot="1">
      <c r="A195" s="435"/>
      <c r="B195" s="418"/>
      <c r="C195" s="197">
        <v>0</v>
      </c>
      <c r="D195" s="200">
        <v>0</v>
      </c>
      <c r="E195" s="203">
        <v>0</v>
      </c>
      <c r="F195" s="440"/>
      <c r="G195" s="206">
        <v>0</v>
      </c>
      <c r="H195" s="209">
        <v>0</v>
      </c>
      <c r="I195" s="212">
        <v>0</v>
      </c>
      <c r="J195" s="438"/>
    </row>
    <row r="196" spans="1:10">
      <c r="A196" s="434" t="s">
        <v>613</v>
      </c>
      <c r="B196" s="439" t="s">
        <v>1196</v>
      </c>
      <c r="C196" s="196">
        <v>0</v>
      </c>
      <c r="D196" s="199">
        <v>0</v>
      </c>
      <c r="E196" s="202">
        <v>0</v>
      </c>
      <c r="F196" s="419" t="s">
        <v>1196</v>
      </c>
      <c r="G196" s="205">
        <v>0</v>
      </c>
      <c r="H196" s="208">
        <v>0</v>
      </c>
      <c r="I196" s="211">
        <v>0</v>
      </c>
      <c r="J196" s="436" t="s">
        <v>15</v>
      </c>
    </row>
    <row r="197" spans="1:10">
      <c r="A197" s="435"/>
      <c r="B197" s="418"/>
      <c r="C197" s="196">
        <v>0</v>
      </c>
      <c r="D197" s="199">
        <v>0</v>
      </c>
      <c r="E197" s="202">
        <v>0</v>
      </c>
      <c r="F197" s="419"/>
      <c r="G197" s="205">
        <v>0</v>
      </c>
      <c r="H197" s="208">
        <v>0</v>
      </c>
      <c r="I197" s="211">
        <v>0</v>
      </c>
      <c r="J197" s="437"/>
    </row>
    <row r="198" spans="1:10">
      <c r="A198" s="435"/>
      <c r="B198" s="418"/>
      <c r="C198" s="196">
        <v>0</v>
      </c>
      <c r="D198" s="199">
        <v>0</v>
      </c>
      <c r="E198" s="202">
        <v>0</v>
      </c>
      <c r="F198" s="419"/>
      <c r="G198" s="205">
        <v>0</v>
      </c>
      <c r="H198" s="208">
        <v>0</v>
      </c>
      <c r="I198" s="211">
        <v>0</v>
      </c>
      <c r="J198" s="437"/>
    </row>
    <row r="199" spans="1:10">
      <c r="A199" s="435"/>
      <c r="B199" s="418"/>
      <c r="C199" s="196">
        <v>0</v>
      </c>
      <c r="D199" s="199">
        <v>0</v>
      </c>
      <c r="E199" s="202">
        <v>0</v>
      </c>
      <c r="F199" s="419"/>
      <c r="G199" s="205">
        <v>0</v>
      </c>
      <c r="H199" s="208">
        <v>0</v>
      </c>
      <c r="I199" s="211">
        <v>0</v>
      </c>
      <c r="J199" s="437"/>
    </row>
    <row r="200" spans="1:10">
      <c r="A200" s="435"/>
      <c r="B200" s="418"/>
      <c r="C200" s="196">
        <v>0</v>
      </c>
      <c r="D200" s="199">
        <v>0</v>
      </c>
      <c r="E200" s="202">
        <v>0</v>
      </c>
      <c r="F200" s="419"/>
      <c r="G200" s="205">
        <v>0</v>
      </c>
      <c r="H200" s="208">
        <v>0</v>
      </c>
      <c r="I200" s="211">
        <v>0</v>
      </c>
      <c r="J200" s="437"/>
    </row>
    <row r="201" spans="1:10" ht="15.75" thickBot="1">
      <c r="A201" s="435"/>
      <c r="B201" s="418"/>
      <c r="C201" s="197">
        <v>0</v>
      </c>
      <c r="D201" s="200">
        <v>0</v>
      </c>
      <c r="E201" s="203">
        <v>0</v>
      </c>
      <c r="F201" s="440"/>
      <c r="G201" s="206">
        <v>0</v>
      </c>
      <c r="H201" s="209">
        <v>0</v>
      </c>
      <c r="I201" s="212">
        <v>0</v>
      </c>
      <c r="J201" s="438"/>
    </row>
    <row r="202" spans="1:10">
      <c r="A202" s="434" t="s">
        <v>614</v>
      </c>
      <c r="B202" s="439" t="s">
        <v>1196</v>
      </c>
      <c r="C202" s="196">
        <v>0</v>
      </c>
      <c r="D202" s="199">
        <v>0</v>
      </c>
      <c r="E202" s="202">
        <v>0</v>
      </c>
      <c r="F202" s="419" t="s">
        <v>1196</v>
      </c>
      <c r="G202" s="205">
        <v>0</v>
      </c>
      <c r="H202" s="208">
        <v>0</v>
      </c>
      <c r="I202" s="211">
        <v>0</v>
      </c>
      <c r="J202" s="437" t="s">
        <v>15</v>
      </c>
    </row>
    <row r="203" spans="1:10">
      <c r="A203" s="435"/>
      <c r="B203" s="418"/>
      <c r="C203" s="196">
        <v>0</v>
      </c>
      <c r="D203" s="199">
        <v>0</v>
      </c>
      <c r="E203" s="202">
        <v>0</v>
      </c>
      <c r="F203" s="419"/>
      <c r="G203" s="205">
        <v>0</v>
      </c>
      <c r="H203" s="208">
        <v>0</v>
      </c>
      <c r="I203" s="211">
        <v>0</v>
      </c>
      <c r="J203" s="437"/>
    </row>
    <row r="204" spans="1:10">
      <c r="A204" s="435"/>
      <c r="B204" s="418"/>
      <c r="C204" s="196">
        <v>0</v>
      </c>
      <c r="D204" s="199">
        <v>0</v>
      </c>
      <c r="E204" s="202">
        <v>0</v>
      </c>
      <c r="F204" s="419"/>
      <c r="G204" s="205">
        <v>0</v>
      </c>
      <c r="H204" s="208">
        <v>0</v>
      </c>
      <c r="I204" s="211">
        <v>0</v>
      </c>
      <c r="J204" s="437"/>
    </row>
    <row r="205" spans="1:10">
      <c r="A205" s="435"/>
      <c r="B205" s="418"/>
      <c r="C205" s="196">
        <v>0</v>
      </c>
      <c r="D205" s="199">
        <v>0</v>
      </c>
      <c r="E205" s="202">
        <v>0</v>
      </c>
      <c r="F205" s="419"/>
      <c r="G205" s="205">
        <v>0</v>
      </c>
      <c r="H205" s="208">
        <v>0</v>
      </c>
      <c r="I205" s="211">
        <v>0</v>
      </c>
      <c r="J205" s="437"/>
    </row>
    <row r="206" spans="1:10">
      <c r="A206" s="435"/>
      <c r="B206" s="418"/>
      <c r="C206" s="196">
        <v>0</v>
      </c>
      <c r="D206" s="199">
        <v>0</v>
      </c>
      <c r="E206" s="202">
        <v>0</v>
      </c>
      <c r="F206" s="419"/>
      <c r="G206" s="205">
        <v>0</v>
      </c>
      <c r="H206" s="208">
        <v>0</v>
      </c>
      <c r="I206" s="211">
        <v>0</v>
      </c>
      <c r="J206" s="437"/>
    </row>
    <row r="207" spans="1:10" ht="15.75" thickBot="1">
      <c r="A207" s="435"/>
      <c r="B207" s="418"/>
      <c r="C207" s="197">
        <v>0</v>
      </c>
      <c r="D207" s="200">
        <v>0</v>
      </c>
      <c r="E207" s="203">
        <v>0</v>
      </c>
      <c r="F207" s="440"/>
      <c r="G207" s="206">
        <v>0</v>
      </c>
      <c r="H207" s="209">
        <v>0</v>
      </c>
      <c r="I207" s="212">
        <v>0</v>
      </c>
      <c r="J207" s="438"/>
    </row>
    <row r="208" spans="1:10">
      <c r="A208" s="434" t="s">
        <v>615</v>
      </c>
      <c r="B208" s="439" t="s">
        <v>1196</v>
      </c>
      <c r="C208" s="196">
        <v>0</v>
      </c>
      <c r="D208" s="199">
        <v>0</v>
      </c>
      <c r="E208" s="202">
        <v>0</v>
      </c>
      <c r="F208" s="419" t="s">
        <v>1196</v>
      </c>
      <c r="G208" s="205">
        <v>0</v>
      </c>
      <c r="H208" s="208">
        <v>0</v>
      </c>
      <c r="I208" s="211">
        <v>0</v>
      </c>
      <c r="J208" s="437" t="s">
        <v>15</v>
      </c>
    </row>
    <row r="209" spans="1:10">
      <c r="A209" s="435"/>
      <c r="B209" s="419"/>
      <c r="C209" s="196">
        <v>0</v>
      </c>
      <c r="D209" s="199">
        <v>0</v>
      </c>
      <c r="E209" s="202">
        <v>0</v>
      </c>
      <c r="F209" s="419"/>
      <c r="G209" s="205">
        <v>0</v>
      </c>
      <c r="H209" s="208">
        <v>0</v>
      </c>
      <c r="I209" s="211">
        <v>0</v>
      </c>
      <c r="J209" s="437"/>
    </row>
    <row r="210" spans="1:10">
      <c r="A210" s="435"/>
      <c r="B210" s="419"/>
      <c r="C210" s="196">
        <v>0</v>
      </c>
      <c r="D210" s="199">
        <v>0</v>
      </c>
      <c r="E210" s="202">
        <v>0</v>
      </c>
      <c r="F210" s="419"/>
      <c r="G210" s="205">
        <v>0</v>
      </c>
      <c r="H210" s="208">
        <v>0</v>
      </c>
      <c r="I210" s="211">
        <v>0</v>
      </c>
      <c r="J210" s="437"/>
    </row>
    <row r="211" spans="1:10">
      <c r="A211" s="435"/>
      <c r="B211" s="419"/>
      <c r="C211" s="196">
        <v>0</v>
      </c>
      <c r="D211" s="199">
        <v>0</v>
      </c>
      <c r="E211" s="202">
        <v>0</v>
      </c>
      <c r="F211" s="419"/>
      <c r="G211" s="205">
        <v>0</v>
      </c>
      <c r="H211" s="208">
        <v>0</v>
      </c>
      <c r="I211" s="211">
        <v>0</v>
      </c>
      <c r="J211" s="437"/>
    </row>
    <row r="212" spans="1:10">
      <c r="A212" s="435"/>
      <c r="B212" s="419"/>
      <c r="C212" s="196">
        <v>0</v>
      </c>
      <c r="D212" s="199">
        <v>0</v>
      </c>
      <c r="E212" s="202">
        <v>0</v>
      </c>
      <c r="F212" s="419"/>
      <c r="G212" s="205">
        <v>0</v>
      </c>
      <c r="H212" s="208">
        <v>0</v>
      </c>
      <c r="I212" s="211">
        <v>0</v>
      </c>
      <c r="J212" s="437"/>
    </row>
    <row r="213" spans="1:10" ht="15.75" thickBot="1">
      <c r="A213" s="435"/>
      <c r="B213" s="440"/>
      <c r="C213" s="197">
        <v>0</v>
      </c>
      <c r="D213" s="200">
        <v>0</v>
      </c>
      <c r="E213" s="203">
        <v>0</v>
      </c>
      <c r="F213" s="440"/>
      <c r="G213" s="206">
        <v>0</v>
      </c>
      <c r="H213" s="209">
        <v>0</v>
      </c>
      <c r="I213" s="212">
        <v>0</v>
      </c>
      <c r="J213" s="438"/>
    </row>
    <row r="214" spans="1:10">
      <c r="A214" s="434" t="s">
        <v>616</v>
      </c>
      <c r="B214" s="439" t="s">
        <v>1196</v>
      </c>
      <c r="C214" s="196">
        <v>0</v>
      </c>
      <c r="D214" s="199">
        <v>0</v>
      </c>
      <c r="E214" s="202">
        <v>0</v>
      </c>
      <c r="F214" s="419" t="s">
        <v>1196</v>
      </c>
      <c r="G214" s="205">
        <v>0</v>
      </c>
      <c r="H214" s="208">
        <v>0</v>
      </c>
      <c r="I214" s="211">
        <v>0</v>
      </c>
      <c r="J214" s="437" t="s">
        <v>15</v>
      </c>
    </row>
    <row r="215" spans="1:10">
      <c r="A215" s="435"/>
      <c r="B215" s="419"/>
      <c r="C215" s="196">
        <v>0</v>
      </c>
      <c r="D215" s="199">
        <v>0</v>
      </c>
      <c r="E215" s="202">
        <v>0</v>
      </c>
      <c r="F215" s="419"/>
      <c r="G215" s="205">
        <v>0</v>
      </c>
      <c r="H215" s="208">
        <v>0</v>
      </c>
      <c r="I215" s="211">
        <v>0</v>
      </c>
      <c r="J215" s="437"/>
    </row>
    <row r="216" spans="1:10">
      <c r="A216" s="435"/>
      <c r="B216" s="419"/>
      <c r="C216" s="196">
        <v>0</v>
      </c>
      <c r="D216" s="199">
        <v>0</v>
      </c>
      <c r="E216" s="202">
        <v>0</v>
      </c>
      <c r="F216" s="419"/>
      <c r="G216" s="205">
        <v>0</v>
      </c>
      <c r="H216" s="208">
        <v>0</v>
      </c>
      <c r="I216" s="211">
        <v>0</v>
      </c>
      <c r="J216" s="437"/>
    </row>
    <row r="217" spans="1:10">
      <c r="A217" s="435"/>
      <c r="B217" s="419"/>
      <c r="C217" s="196">
        <v>0</v>
      </c>
      <c r="D217" s="199">
        <v>0</v>
      </c>
      <c r="E217" s="202">
        <v>0</v>
      </c>
      <c r="F217" s="419"/>
      <c r="G217" s="205">
        <v>0</v>
      </c>
      <c r="H217" s="208">
        <v>0</v>
      </c>
      <c r="I217" s="211">
        <v>0</v>
      </c>
      <c r="J217" s="437"/>
    </row>
    <row r="218" spans="1:10">
      <c r="A218" s="435"/>
      <c r="B218" s="419"/>
      <c r="C218" s="196">
        <v>0</v>
      </c>
      <c r="D218" s="199">
        <v>0</v>
      </c>
      <c r="E218" s="202">
        <v>0</v>
      </c>
      <c r="F218" s="419"/>
      <c r="G218" s="205">
        <v>0</v>
      </c>
      <c r="H218" s="208">
        <v>0</v>
      </c>
      <c r="I218" s="211">
        <v>0</v>
      </c>
      <c r="J218" s="437"/>
    </row>
    <row r="219" spans="1:10" ht="15.75" thickBot="1">
      <c r="A219" s="435"/>
      <c r="B219" s="440"/>
      <c r="C219" s="197">
        <v>0</v>
      </c>
      <c r="D219" s="200">
        <v>0</v>
      </c>
      <c r="E219" s="203">
        <v>0</v>
      </c>
      <c r="F219" s="440"/>
      <c r="G219" s="206">
        <v>0</v>
      </c>
      <c r="H219" s="209">
        <v>0</v>
      </c>
      <c r="I219" s="212">
        <v>0</v>
      </c>
      <c r="J219" s="438"/>
    </row>
    <row r="220" spans="1:10">
      <c r="A220" s="434" t="s">
        <v>617</v>
      </c>
      <c r="B220" s="419" t="s">
        <v>1196</v>
      </c>
      <c r="C220" s="196">
        <v>0</v>
      </c>
      <c r="D220" s="199">
        <v>0</v>
      </c>
      <c r="E220" s="202">
        <v>0</v>
      </c>
      <c r="F220" s="419" t="s">
        <v>1196</v>
      </c>
      <c r="G220" s="205">
        <v>0</v>
      </c>
      <c r="H220" s="208">
        <v>0</v>
      </c>
      <c r="I220" s="211">
        <v>0</v>
      </c>
      <c r="J220" s="437" t="s">
        <v>15</v>
      </c>
    </row>
    <row r="221" spans="1:10">
      <c r="A221" s="435"/>
      <c r="B221" s="418"/>
      <c r="C221" s="196">
        <v>0</v>
      </c>
      <c r="D221" s="199">
        <v>0</v>
      </c>
      <c r="E221" s="202">
        <v>0</v>
      </c>
      <c r="F221" s="419"/>
      <c r="G221" s="205">
        <v>0</v>
      </c>
      <c r="H221" s="208">
        <v>0</v>
      </c>
      <c r="I221" s="211">
        <v>0</v>
      </c>
      <c r="J221" s="437"/>
    </row>
    <row r="222" spans="1:10">
      <c r="A222" s="435"/>
      <c r="B222" s="418"/>
      <c r="C222" s="196">
        <v>0</v>
      </c>
      <c r="D222" s="199">
        <v>0</v>
      </c>
      <c r="E222" s="202">
        <v>0</v>
      </c>
      <c r="F222" s="419"/>
      <c r="G222" s="205">
        <v>0</v>
      </c>
      <c r="H222" s="208">
        <v>0</v>
      </c>
      <c r="I222" s="211">
        <v>0</v>
      </c>
      <c r="J222" s="437"/>
    </row>
    <row r="223" spans="1:10">
      <c r="A223" s="435"/>
      <c r="B223" s="418"/>
      <c r="C223" s="196">
        <v>0</v>
      </c>
      <c r="D223" s="199">
        <v>0</v>
      </c>
      <c r="E223" s="202">
        <v>0</v>
      </c>
      <c r="F223" s="419"/>
      <c r="G223" s="205">
        <v>0</v>
      </c>
      <c r="H223" s="208">
        <v>0</v>
      </c>
      <c r="I223" s="211">
        <v>0</v>
      </c>
      <c r="J223" s="437"/>
    </row>
    <row r="224" spans="1:10">
      <c r="A224" s="435"/>
      <c r="B224" s="418"/>
      <c r="C224" s="196">
        <v>0</v>
      </c>
      <c r="D224" s="199">
        <v>0</v>
      </c>
      <c r="E224" s="202">
        <v>0</v>
      </c>
      <c r="F224" s="419"/>
      <c r="G224" s="205">
        <v>0</v>
      </c>
      <c r="H224" s="208">
        <v>0</v>
      </c>
      <c r="I224" s="211">
        <v>0</v>
      </c>
      <c r="J224" s="437"/>
    </row>
    <row r="225" spans="1:10" ht="15.75" thickBot="1">
      <c r="A225" s="435"/>
      <c r="B225" s="418"/>
      <c r="C225" s="197">
        <v>0</v>
      </c>
      <c r="D225" s="200">
        <v>0</v>
      </c>
      <c r="E225" s="203">
        <v>0</v>
      </c>
      <c r="F225" s="440"/>
      <c r="G225" s="206">
        <v>0</v>
      </c>
      <c r="H225" s="209">
        <v>0</v>
      </c>
      <c r="I225" s="212">
        <v>0</v>
      </c>
      <c r="J225" s="438"/>
    </row>
    <row r="226" spans="1:10">
      <c r="A226" s="434" t="s">
        <v>618</v>
      </c>
      <c r="B226" s="439" t="s">
        <v>1196</v>
      </c>
      <c r="C226" s="196">
        <v>0</v>
      </c>
      <c r="D226" s="199">
        <v>0</v>
      </c>
      <c r="E226" s="202">
        <v>0</v>
      </c>
      <c r="F226" s="419" t="s">
        <v>1196</v>
      </c>
      <c r="G226" s="205">
        <v>0</v>
      </c>
      <c r="H226" s="208">
        <v>0</v>
      </c>
      <c r="I226" s="211">
        <v>0</v>
      </c>
      <c r="J226" s="437" t="s">
        <v>15</v>
      </c>
    </row>
    <row r="227" spans="1:10">
      <c r="A227" s="435"/>
      <c r="B227" s="418"/>
      <c r="C227" s="196">
        <v>0</v>
      </c>
      <c r="D227" s="199">
        <v>0</v>
      </c>
      <c r="E227" s="202">
        <v>0</v>
      </c>
      <c r="F227" s="419"/>
      <c r="G227" s="205">
        <v>0</v>
      </c>
      <c r="H227" s="208">
        <v>0</v>
      </c>
      <c r="I227" s="211">
        <v>0</v>
      </c>
      <c r="J227" s="437"/>
    </row>
    <row r="228" spans="1:10">
      <c r="A228" s="435"/>
      <c r="B228" s="418"/>
      <c r="C228" s="196">
        <v>0</v>
      </c>
      <c r="D228" s="199">
        <v>0</v>
      </c>
      <c r="E228" s="202">
        <v>0</v>
      </c>
      <c r="F228" s="419"/>
      <c r="G228" s="205">
        <v>0</v>
      </c>
      <c r="H228" s="208">
        <v>0</v>
      </c>
      <c r="I228" s="211">
        <v>0</v>
      </c>
      <c r="J228" s="437"/>
    </row>
    <row r="229" spans="1:10">
      <c r="A229" s="435"/>
      <c r="B229" s="418"/>
      <c r="C229" s="196">
        <v>0</v>
      </c>
      <c r="D229" s="199">
        <v>0</v>
      </c>
      <c r="E229" s="202">
        <v>0</v>
      </c>
      <c r="F229" s="419"/>
      <c r="G229" s="205">
        <v>0</v>
      </c>
      <c r="H229" s="208">
        <v>0</v>
      </c>
      <c r="I229" s="211">
        <v>0</v>
      </c>
      <c r="J229" s="437"/>
    </row>
    <row r="230" spans="1:10">
      <c r="A230" s="435"/>
      <c r="B230" s="418"/>
      <c r="C230" s="196">
        <v>0</v>
      </c>
      <c r="D230" s="199">
        <v>0</v>
      </c>
      <c r="E230" s="202">
        <v>0</v>
      </c>
      <c r="F230" s="419"/>
      <c r="G230" s="205">
        <v>0</v>
      </c>
      <c r="H230" s="208">
        <v>0</v>
      </c>
      <c r="I230" s="211">
        <v>0</v>
      </c>
      <c r="J230" s="437"/>
    </row>
    <row r="231" spans="1:10" ht="15.75" thickBot="1">
      <c r="A231" s="435"/>
      <c r="B231" s="418"/>
      <c r="C231" s="197">
        <v>0</v>
      </c>
      <c r="D231" s="200">
        <v>0</v>
      </c>
      <c r="E231" s="203">
        <v>0</v>
      </c>
      <c r="F231" s="440"/>
      <c r="G231" s="206">
        <v>0</v>
      </c>
      <c r="H231" s="209">
        <v>0</v>
      </c>
      <c r="I231" s="212">
        <v>0</v>
      </c>
      <c r="J231" s="437"/>
    </row>
    <row r="232" spans="1:10">
      <c r="A232" s="434" t="s">
        <v>619</v>
      </c>
      <c r="B232" s="439" t="s">
        <v>1196</v>
      </c>
      <c r="C232" s="196">
        <v>0</v>
      </c>
      <c r="D232" s="199">
        <v>0</v>
      </c>
      <c r="E232" s="202">
        <v>0</v>
      </c>
      <c r="F232" s="419" t="s">
        <v>1196</v>
      </c>
      <c r="G232" s="205">
        <v>0</v>
      </c>
      <c r="H232" s="208">
        <v>0</v>
      </c>
      <c r="I232" s="211">
        <v>0</v>
      </c>
      <c r="J232" s="436" t="s">
        <v>15</v>
      </c>
    </row>
    <row r="233" spans="1:10">
      <c r="A233" s="435"/>
      <c r="B233" s="419"/>
      <c r="C233" s="196">
        <v>0</v>
      </c>
      <c r="D233" s="199">
        <v>0</v>
      </c>
      <c r="E233" s="202">
        <v>0</v>
      </c>
      <c r="F233" s="419"/>
      <c r="G233" s="205">
        <v>0</v>
      </c>
      <c r="H233" s="208">
        <v>0</v>
      </c>
      <c r="I233" s="211">
        <v>0</v>
      </c>
      <c r="J233" s="437"/>
    </row>
    <row r="234" spans="1:10">
      <c r="A234" s="435"/>
      <c r="B234" s="419"/>
      <c r="C234" s="196">
        <v>0</v>
      </c>
      <c r="D234" s="199">
        <v>0</v>
      </c>
      <c r="E234" s="202">
        <v>0</v>
      </c>
      <c r="F234" s="419"/>
      <c r="G234" s="205">
        <v>0</v>
      </c>
      <c r="H234" s="208">
        <v>0</v>
      </c>
      <c r="I234" s="211">
        <v>0</v>
      </c>
      <c r="J234" s="437"/>
    </row>
    <row r="235" spans="1:10">
      <c r="A235" s="435"/>
      <c r="B235" s="419"/>
      <c r="C235" s="196">
        <v>0</v>
      </c>
      <c r="D235" s="199">
        <v>0</v>
      </c>
      <c r="E235" s="202">
        <v>0</v>
      </c>
      <c r="F235" s="419"/>
      <c r="G235" s="205">
        <v>0</v>
      </c>
      <c r="H235" s="208">
        <v>0</v>
      </c>
      <c r="I235" s="211">
        <v>0</v>
      </c>
      <c r="J235" s="437"/>
    </row>
    <row r="236" spans="1:10">
      <c r="A236" s="435"/>
      <c r="B236" s="419"/>
      <c r="C236" s="196">
        <v>0</v>
      </c>
      <c r="D236" s="199">
        <v>0</v>
      </c>
      <c r="E236" s="202">
        <v>0</v>
      </c>
      <c r="F236" s="419"/>
      <c r="G236" s="205">
        <v>0</v>
      </c>
      <c r="H236" s="208">
        <v>0</v>
      </c>
      <c r="I236" s="211">
        <v>0</v>
      </c>
      <c r="J236" s="437"/>
    </row>
    <row r="237" spans="1:10" ht="15.75" thickBot="1">
      <c r="A237" s="435"/>
      <c r="B237" s="440"/>
      <c r="C237" s="197">
        <v>0</v>
      </c>
      <c r="D237" s="200">
        <v>0</v>
      </c>
      <c r="E237" s="203">
        <v>0</v>
      </c>
      <c r="F237" s="440"/>
      <c r="G237" s="206">
        <v>0</v>
      </c>
      <c r="H237" s="209">
        <v>0</v>
      </c>
      <c r="I237" s="212">
        <v>0</v>
      </c>
      <c r="J237" s="438"/>
    </row>
    <row r="238" spans="1:10">
      <c r="A238" s="434" t="s">
        <v>620</v>
      </c>
      <c r="B238" s="419" t="s">
        <v>1196</v>
      </c>
      <c r="C238" s="196">
        <v>0</v>
      </c>
      <c r="D238" s="199">
        <v>0</v>
      </c>
      <c r="E238" s="202">
        <v>0</v>
      </c>
      <c r="F238" s="419" t="s">
        <v>1196</v>
      </c>
      <c r="G238" s="205">
        <v>0</v>
      </c>
      <c r="H238" s="208">
        <v>0</v>
      </c>
      <c r="I238" s="211">
        <v>0</v>
      </c>
      <c r="J238" s="436" t="s">
        <v>15</v>
      </c>
    </row>
    <row r="239" spans="1:10">
      <c r="A239" s="435"/>
      <c r="B239" s="419"/>
      <c r="C239" s="196">
        <v>0</v>
      </c>
      <c r="D239" s="199">
        <v>0</v>
      </c>
      <c r="E239" s="202">
        <v>0</v>
      </c>
      <c r="F239" s="419"/>
      <c r="G239" s="205">
        <v>0</v>
      </c>
      <c r="H239" s="208">
        <v>0</v>
      </c>
      <c r="I239" s="211">
        <v>0</v>
      </c>
      <c r="J239" s="437"/>
    </row>
    <row r="240" spans="1:10">
      <c r="A240" s="435"/>
      <c r="B240" s="419"/>
      <c r="C240" s="196">
        <v>0</v>
      </c>
      <c r="D240" s="199">
        <v>0</v>
      </c>
      <c r="E240" s="202">
        <v>0</v>
      </c>
      <c r="F240" s="419"/>
      <c r="G240" s="205">
        <v>0</v>
      </c>
      <c r="H240" s="208">
        <v>0</v>
      </c>
      <c r="I240" s="211">
        <v>0</v>
      </c>
      <c r="J240" s="437"/>
    </row>
    <row r="241" spans="1:10">
      <c r="A241" s="435"/>
      <c r="B241" s="419"/>
      <c r="C241" s="196">
        <v>0</v>
      </c>
      <c r="D241" s="199">
        <v>0</v>
      </c>
      <c r="E241" s="202">
        <v>0</v>
      </c>
      <c r="F241" s="419"/>
      <c r="G241" s="205">
        <v>0</v>
      </c>
      <c r="H241" s="208">
        <v>0</v>
      </c>
      <c r="I241" s="211">
        <v>0</v>
      </c>
      <c r="J241" s="437"/>
    </row>
    <row r="242" spans="1:10">
      <c r="A242" s="435"/>
      <c r="B242" s="419"/>
      <c r="C242" s="196">
        <v>0</v>
      </c>
      <c r="D242" s="199">
        <v>0</v>
      </c>
      <c r="E242" s="202">
        <v>0</v>
      </c>
      <c r="F242" s="419"/>
      <c r="G242" s="205">
        <v>0</v>
      </c>
      <c r="H242" s="208">
        <v>0</v>
      </c>
      <c r="I242" s="211">
        <v>0</v>
      </c>
      <c r="J242" s="437"/>
    </row>
    <row r="243" spans="1:10" ht="15.75" thickBot="1">
      <c r="A243" s="435"/>
      <c r="B243" s="440"/>
      <c r="C243" s="197">
        <v>0</v>
      </c>
      <c r="D243" s="200">
        <v>0</v>
      </c>
      <c r="E243" s="203">
        <v>0</v>
      </c>
      <c r="F243" s="440"/>
      <c r="G243" s="206">
        <v>0</v>
      </c>
      <c r="H243" s="209">
        <v>0</v>
      </c>
      <c r="I243" s="212">
        <v>0</v>
      </c>
      <c r="J243" s="438"/>
    </row>
    <row r="244" spans="1:10">
      <c r="A244" s="434" t="s">
        <v>621</v>
      </c>
      <c r="B244" s="419" t="s">
        <v>1196</v>
      </c>
      <c r="C244" s="196">
        <v>0</v>
      </c>
      <c r="D244" s="199">
        <v>0</v>
      </c>
      <c r="E244" s="202">
        <v>0</v>
      </c>
      <c r="F244" s="419" t="s">
        <v>1196</v>
      </c>
      <c r="G244" s="205">
        <v>0</v>
      </c>
      <c r="H244" s="208">
        <v>0</v>
      </c>
      <c r="I244" s="211">
        <v>0</v>
      </c>
      <c r="J244" s="436" t="s">
        <v>15</v>
      </c>
    </row>
    <row r="245" spans="1:10">
      <c r="A245" s="435"/>
      <c r="B245" s="418"/>
      <c r="C245" s="196">
        <v>0</v>
      </c>
      <c r="D245" s="199">
        <v>0</v>
      </c>
      <c r="E245" s="202">
        <v>0</v>
      </c>
      <c r="F245" s="419"/>
      <c r="G245" s="205">
        <v>0</v>
      </c>
      <c r="H245" s="208">
        <v>0</v>
      </c>
      <c r="I245" s="211">
        <v>0</v>
      </c>
      <c r="J245" s="437"/>
    </row>
    <row r="246" spans="1:10">
      <c r="A246" s="435"/>
      <c r="B246" s="418"/>
      <c r="C246" s="196">
        <v>0</v>
      </c>
      <c r="D246" s="199">
        <v>0</v>
      </c>
      <c r="E246" s="202">
        <v>0</v>
      </c>
      <c r="F246" s="419"/>
      <c r="G246" s="205">
        <v>0</v>
      </c>
      <c r="H246" s="208">
        <v>0</v>
      </c>
      <c r="I246" s="211">
        <v>0</v>
      </c>
      <c r="J246" s="437"/>
    </row>
    <row r="247" spans="1:10">
      <c r="A247" s="435"/>
      <c r="B247" s="418"/>
      <c r="C247" s="196">
        <v>0</v>
      </c>
      <c r="D247" s="199">
        <v>0</v>
      </c>
      <c r="E247" s="202">
        <v>0</v>
      </c>
      <c r="F247" s="419"/>
      <c r="G247" s="205">
        <v>0</v>
      </c>
      <c r="H247" s="208">
        <v>0</v>
      </c>
      <c r="I247" s="211">
        <v>0</v>
      </c>
      <c r="J247" s="437"/>
    </row>
    <row r="248" spans="1:10">
      <c r="A248" s="435"/>
      <c r="B248" s="418"/>
      <c r="C248" s="196">
        <v>0</v>
      </c>
      <c r="D248" s="199">
        <v>0</v>
      </c>
      <c r="E248" s="202">
        <v>0</v>
      </c>
      <c r="F248" s="419"/>
      <c r="G248" s="205">
        <v>0</v>
      </c>
      <c r="H248" s="208">
        <v>0</v>
      </c>
      <c r="I248" s="211">
        <v>0</v>
      </c>
      <c r="J248" s="437"/>
    </row>
    <row r="249" spans="1:10" ht="15.75" thickBot="1">
      <c r="A249" s="435"/>
      <c r="B249" s="418"/>
      <c r="C249" s="197">
        <v>0</v>
      </c>
      <c r="D249" s="200">
        <v>0</v>
      </c>
      <c r="E249" s="203">
        <v>0</v>
      </c>
      <c r="F249" s="440"/>
      <c r="G249" s="206">
        <v>0</v>
      </c>
      <c r="H249" s="209">
        <v>0</v>
      </c>
      <c r="I249" s="212">
        <v>0</v>
      </c>
      <c r="J249" s="438"/>
    </row>
    <row r="250" spans="1:10">
      <c r="A250" s="434" t="s">
        <v>622</v>
      </c>
      <c r="B250" s="439" t="s">
        <v>1196</v>
      </c>
      <c r="C250" s="196">
        <v>0</v>
      </c>
      <c r="D250" s="199">
        <v>0</v>
      </c>
      <c r="E250" s="202">
        <v>0</v>
      </c>
      <c r="F250" s="419" t="s">
        <v>1196</v>
      </c>
      <c r="G250" s="205">
        <v>0</v>
      </c>
      <c r="H250" s="208">
        <v>0</v>
      </c>
      <c r="I250" s="211">
        <v>0</v>
      </c>
      <c r="J250" s="436" t="s">
        <v>15</v>
      </c>
    </row>
    <row r="251" spans="1:10">
      <c r="A251" s="435"/>
      <c r="B251" s="418"/>
      <c r="C251" s="196">
        <v>0</v>
      </c>
      <c r="D251" s="199">
        <v>0</v>
      </c>
      <c r="E251" s="202">
        <v>0</v>
      </c>
      <c r="F251" s="419"/>
      <c r="G251" s="205">
        <v>0</v>
      </c>
      <c r="H251" s="208">
        <v>0</v>
      </c>
      <c r="I251" s="211">
        <v>0</v>
      </c>
      <c r="J251" s="437"/>
    </row>
    <row r="252" spans="1:10">
      <c r="A252" s="435"/>
      <c r="B252" s="418"/>
      <c r="C252" s="196">
        <v>0</v>
      </c>
      <c r="D252" s="199">
        <v>0</v>
      </c>
      <c r="E252" s="202">
        <v>0</v>
      </c>
      <c r="F252" s="419"/>
      <c r="G252" s="205">
        <v>0</v>
      </c>
      <c r="H252" s="208">
        <v>0</v>
      </c>
      <c r="I252" s="211">
        <v>0</v>
      </c>
      <c r="J252" s="437"/>
    </row>
    <row r="253" spans="1:10">
      <c r="A253" s="435"/>
      <c r="B253" s="418"/>
      <c r="C253" s="196">
        <v>0</v>
      </c>
      <c r="D253" s="199">
        <v>0</v>
      </c>
      <c r="E253" s="202">
        <v>0</v>
      </c>
      <c r="F253" s="419"/>
      <c r="G253" s="205">
        <v>0</v>
      </c>
      <c r="H253" s="208">
        <v>0</v>
      </c>
      <c r="I253" s="211">
        <v>0</v>
      </c>
      <c r="J253" s="437"/>
    </row>
    <row r="254" spans="1:10">
      <c r="A254" s="435"/>
      <c r="B254" s="418"/>
      <c r="C254" s="196">
        <v>0</v>
      </c>
      <c r="D254" s="199">
        <v>0</v>
      </c>
      <c r="E254" s="202">
        <v>0</v>
      </c>
      <c r="F254" s="419"/>
      <c r="G254" s="205">
        <v>0</v>
      </c>
      <c r="H254" s="208">
        <v>0</v>
      </c>
      <c r="I254" s="211">
        <v>0</v>
      </c>
      <c r="J254" s="437"/>
    </row>
    <row r="255" spans="1:10" ht="15.75" thickBot="1">
      <c r="A255" s="435"/>
      <c r="B255" s="418"/>
      <c r="C255" s="197">
        <v>0</v>
      </c>
      <c r="D255" s="200">
        <v>0</v>
      </c>
      <c r="E255" s="203">
        <v>0</v>
      </c>
      <c r="F255" s="440"/>
      <c r="G255" s="206">
        <v>0</v>
      </c>
      <c r="H255" s="209">
        <v>0</v>
      </c>
      <c r="I255" s="212">
        <v>0</v>
      </c>
      <c r="J255" s="438"/>
    </row>
    <row r="256" spans="1:10">
      <c r="A256" s="434" t="s">
        <v>623</v>
      </c>
      <c r="B256" s="439" t="s">
        <v>1196</v>
      </c>
      <c r="C256" s="196">
        <v>0</v>
      </c>
      <c r="D256" s="199">
        <v>0</v>
      </c>
      <c r="E256" s="202">
        <v>0</v>
      </c>
      <c r="F256" s="419" t="s">
        <v>1196</v>
      </c>
      <c r="G256" s="205">
        <v>0</v>
      </c>
      <c r="H256" s="208">
        <v>0</v>
      </c>
      <c r="I256" s="211">
        <v>0</v>
      </c>
      <c r="J256" s="437" t="s">
        <v>15</v>
      </c>
    </row>
    <row r="257" spans="1:10">
      <c r="A257" s="435"/>
      <c r="B257" s="418"/>
      <c r="C257" s="196">
        <v>0</v>
      </c>
      <c r="D257" s="199">
        <v>0</v>
      </c>
      <c r="E257" s="202">
        <v>0</v>
      </c>
      <c r="F257" s="419"/>
      <c r="G257" s="205">
        <v>0</v>
      </c>
      <c r="H257" s="208">
        <v>0</v>
      </c>
      <c r="I257" s="211">
        <v>0</v>
      </c>
      <c r="J257" s="437"/>
    </row>
    <row r="258" spans="1:10">
      <c r="A258" s="435"/>
      <c r="B258" s="418"/>
      <c r="C258" s="196">
        <v>0</v>
      </c>
      <c r="D258" s="199">
        <v>0</v>
      </c>
      <c r="E258" s="202">
        <v>0</v>
      </c>
      <c r="F258" s="419"/>
      <c r="G258" s="205">
        <v>0</v>
      </c>
      <c r="H258" s="208">
        <v>0</v>
      </c>
      <c r="I258" s="211">
        <v>0</v>
      </c>
      <c r="J258" s="437"/>
    </row>
    <row r="259" spans="1:10">
      <c r="A259" s="435"/>
      <c r="B259" s="418"/>
      <c r="C259" s="196">
        <v>0</v>
      </c>
      <c r="D259" s="199">
        <v>0</v>
      </c>
      <c r="E259" s="202">
        <v>0</v>
      </c>
      <c r="F259" s="419"/>
      <c r="G259" s="205">
        <v>0</v>
      </c>
      <c r="H259" s="208">
        <v>0</v>
      </c>
      <c r="I259" s="211">
        <v>0</v>
      </c>
      <c r="J259" s="437"/>
    </row>
    <row r="260" spans="1:10">
      <c r="A260" s="435"/>
      <c r="B260" s="418"/>
      <c r="C260" s="196">
        <v>0</v>
      </c>
      <c r="D260" s="199">
        <v>0</v>
      </c>
      <c r="E260" s="202">
        <v>0</v>
      </c>
      <c r="F260" s="419"/>
      <c r="G260" s="205">
        <v>0</v>
      </c>
      <c r="H260" s="208">
        <v>0</v>
      </c>
      <c r="I260" s="211">
        <v>0</v>
      </c>
      <c r="J260" s="437"/>
    </row>
    <row r="261" spans="1:10" ht="15.75" thickBot="1">
      <c r="A261" s="435"/>
      <c r="B261" s="418"/>
      <c r="C261" s="197">
        <v>0</v>
      </c>
      <c r="D261" s="200">
        <v>0</v>
      </c>
      <c r="E261" s="203">
        <v>0</v>
      </c>
      <c r="F261" s="440"/>
      <c r="G261" s="206">
        <v>0</v>
      </c>
      <c r="H261" s="209">
        <v>0</v>
      </c>
      <c r="I261" s="212">
        <v>0</v>
      </c>
      <c r="J261" s="438"/>
    </row>
    <row r="262" spans="1:10">
      <c r="A262" s="434" t="s">
        <v>874</v>
      </c>
      <c r="B262" s="439" t="s">
        <v>1196</v>
      </c>
      <c r="C262" s="196">
        <v>0</v>
      </c>
      <c r="D262" s="199">
        <v>0</v>
      </c>
      <c r="E262" s="202">
        <v>0</v>
      </c>
      <c r="F262" s="419" t="s">
        <v>1196</v>
      </c>
      <c r="G262" s="205">
        <v>0</v>
      </c>
      <c r="H262" s="208">
        <v>0</v>
      </c>
      <c r="I262" s="211">
        <v>0</v>
      </c>
      <c r="J262" s="437" t="s">
        <v>15</v>
      </c>
    </row>
    <row r="263" spans="1:10">
      <c r="A263" s="435"/>
      <c r="B263" s="418"/>
      <c r="C263" s="196">
        <v>0</v>
      </c>
      <c r="D263" s="199">
        <v>0</v>
      </c>
      <c r="E263" s="202">
        <v>0</v>
      </c>
      <c r="F263" s="419"/>
      <c r="G263" s="205">
        <v>0</v>
      </c>
      <c r="H263" s="208">
        <v>0</v>
      </c>
      <c r="I263" s="211">
        <v>0</v>
      </c>
      <c r="J263" s="437"/>
    </row>
    <row r="264" spans="1:10">
      <c r="A264" s="435"/>
      <c r="B264" s="418"/>
      <c r="C264" s="196">
        <v>0</v>
      </c>
      <c r="D264" s="199">
        <v>0</v>
      </c>
      <c r="E264" s="202">
        <v>0</v>
      </c>
      <c r="F264" s="419"/>
      <c r="G264" s="205">
        <v>0</v>
      </c>
      <c r="H264" s="208">
        <v>0</v>
      </c>
      <c r="I264" s="211">
        <v>0</v>
      </c>
      <c r="J264" s="437"/>
    </row>
    <row r="265" spans="1:10">
      <c r="A265" s="435"/>
      <c r="B265" s="418"/>
      <c r="C265" s="196">
        <v>0</v>
      </c>
      <c r="D265" s="199">
        <v>0</v>
      </c>
      <c r="E265" s="202">
        <v>0</v>
      </c>
      <c r="F265" s="419"/>
      <c r="G265" s="205">
        <v>0</v>
      </c>
      <c r="H265" s="208">
        <v>0</v>
      </c>
      <c r="I265" s="211">
        <v>0</v>
      </c>
      <c r="J265" s="437"/>
    </row>
    <row r="266" spans="1:10">
      <c r="A266" s="435"/>
      <c r="B266" s="418"/>
      <c r="C266" s="196">
        <v>0</v>
      </c>
      <c r="D266" s="199">
        <v>0</v>
      </c>
      <c r="E266" s="202">
        <v>0</v>
      </c>
      <c r="F266" s="419"/>
      <c r="G266" s="205">
        <v>0</v>
      </c>
      <c r="H266" s="208">
        <v>0</v>
      </c>
      <c r="I266" s="211">
        <v>0</v>
      </c>
      <c r="J266" s="437"/>
    </row>
    <row r="267" spans="1:10" ht="15.75" thickBot="1">
      <c r="A267" s="435"/>
      <c r="B267" s="418"/>
      <c r="C267" s="197">
        <v>0</v>
      </c>
      <c r="D267" s="200">
        <v>0</v>
      </c>
      <c r="E267" s="203">
        <v>0</v>
      </c>
      <c r="F267" s="440"/>
      <c r="G267" s="206">
        <v>0</v>
      </c>
      <c r="H267" s="209">
        <v>0</v>
      </c>
      <c r="I267" s="212">
        <v>0</v>
      </c>
      <c r="J267" s="438"/>
    </row>
    <row r="268" spans="1:10">
      <c r="A268" s="434" t="s">
        <v>875</v>
      </c>
      <c r="B268" s="439" t="s">
        <v>1196</v>
      </c>
      <c r="C268" s="196">
        <v>0</v>
      </c>
      <c r="D268" s="199">
        <v>0</v>
      </c>
      <c r="E268" s="202">
        <v>0</v>
      </c>
      <c r="F268" s="419" t="s">
        <v>1196</v>
      </c>
      <c r="G268" s="205">
        <v>0</v>
      </c>
      <c r="H268" s="208">
        <v>0</v>
      </c>
      <c r="I268" s="211">
        <v>0</v>
      </c>
      <c r="J268" s="437" t="s">
        <v>15</v>
      </c>
    </row>
    <row r="269" spans="1:10">
      <c r="A269" s="435"/>
      <c r="B269" s="418"/>
      <c r="C269" s="196">
        <v>0</v>
      </c>
      <c r="D269" s="199">
        <v>0</v>
      </c>
      <c r="E269" s="202">
        <v>0</v>
      </c>
      <c r="F269" s="419"/>
      <c r="G269" s="205">
        <v>0</v>
      </c>
      <c r="H269" s="208">
        <v>0</v>
      </c>
      <c r="I269" s="211">
        <v>0</v>
      </c>
      <c r="J269" s="437"/>
    </row>
    <row r="270" spans="1:10">
      <c r="A270" s="435"/>
      <c r="B270" s="418"/>
      <c r="C270" s="196">
        <v>0</v>
      </c>
      <c r="D270" s="199">
        <v>0</v>
      </c>
      <c r="E270" s="202">
        <v>0</v>
      </c>
      <c r="F270" s="419"/>
      <c r="G270" s="205">
        <v>0</v>
      </c>
      <c r="H270" s="208">
        <v>0</v>
      </c>
      <c r="I270" s="211">
        <v>0</v>
      </c>
      <c r="J270" s="437"/>
    </row>
    <row r="271" spans="1:10">
      <c r="A271" s="435"/>
      <c r="B271" s="418"/>
      <c r="C271" s="196">
        <v>0</v>
      </c>
      <c r="D271" s="199">
        <v>0</v>
      </c>
      <c r="E271" s="202">
        <v>0</v>
      </c>
      <c r="F271" s="419"/>
      <c r="G271" s="205">
        <v>0</v>
      </c>
      <c r="H271" s="208">
        <v>0</v>
      </c>
      <c r="I271" s="211">
        <v>0</v>
      </c>
      <c r="J271" s="437"/>
    </row>
    <row r="272" spans="1:10">
      <c r="A272" s="435"/>
      <c r="B272" s="418"/>
      <c r="C272" s="196">
        <v>0</v>
      </c>
      <c r="D272" s="199">
        <v>0</v>
      </c>
      <c r="E272" s="202">
        <v>0</v>
      </c>
      <c r="F272" s="419"/>
      <c r="G272" s="205">
        <v>0</v>
      </c>
      <c r="H272" s="208">
        <v>0</v>
      </c>
      <c r="I272" s="211">
        <v>0</v>
      </c>
      <c r="J272" s="437"/>
    </row>
    <row r="273" spans="1:10" ht="15.75" thickBot="1">
      <c r="A273" s="435"/>
      <c r="B273" s="418"/>
      <c r="C273" s="197">
        <v>0</v>
      </c>
      <c r="D273" s="200">
        <v>0</v>
      </c>
      <c r="E273" s="203">
        <v>0</v>
      </c>
      <c r="F273" s="440"/>
      <c r="G273" s="206">
        <v>0</v>
      </c>
      <c r="H273" s="209">
        <v>0</v>
      </c>
      <c r="I273" s="212">
        <v>0</v>
      </c>
      <c r="J273" s="437"/>
    </row>
    <row r="274" spans="1:10">
      <c r="A274" s="434" t="s">
        <v>876</v>
      </c>
      <c r="B274" s="439" t="s">
        <v>1196</v>
      </c>
      <c r="C274" s="196">
        <v>0</v>
      </c>
      <c r="D274" s="199">
        <v>0</v>
      </c>
      <c r="E274" s="202">
        <v>0</v>
      </c>
      <c r="F274" s="419" t="s">
        <v>1196</v>
      </c>
      <c r="G274" s="205">
        <v>0</v>
      </c>
      <c r="H274" s="208">
        <v>0</v>
      </c>
      <c r="I274" s="211">
        <v>0</v>
      </c>
      <c r="J274" s="436" t="s">
        <v>15</v>
      </c>
    </row>
    <row r="275" spans="1:10">
      <c r="A275" s="435"/>
      <c r="B275" s="418"/>
      <c r="C275" s="196">
        <v>0</v>
      </c>
      <c r="D275" s="199">
        <v>0</v>
      </c>
      <c r="E275" s="202">
        <v>0</v>
      </c>
      <c r="F275" s="419"/>
      <c r="G275" s="205">
        <v>0</v>
      </c>
      <c r="H275" s="208">
        <v>0</v>
      </c>
      <c r="I275" s="211">
        <v>0</v>
      </c>
      <c r="J275" s="437"/>
    </row>
    <row r="276" spans="1:10">
      <c r="A276" s="435"/>
      <c r="B276" s="418"/>
      <c r="C276" s="196">
        <v>0</v>
      </c>
      <c r="D276" s="199">
        <v>0</v>
      </c>
      <c r="E276" s="202">
        <v>0</v>
      </c>
      <c r="F276" s="419"/>
      <c r="G276" s="205">
        <v>0</v>
      </c>
      <c r="H276" s="208">
        <v>0</v>
      </c>
      <c r="I276" s="211">
        <v>0</v>
      </c>
      <c r="J276" s="437"/>
    </row>
    <row r="277" spans="1:10">
      <c r="A277" s="435"/>
      <c r="B277" s="418"/>
      <c r="C277" s="196">
        <v>0</v>
      </c>
      <c r="D277" s="199">
        <v>0</v>
      </c>
      <c r="E277" s="202">
        <v>0</v>
      </c>
      <c r="F277" s="419"/>
      <c r="G277" s="205">
        <v>0</v>
      </c>
      <c r="H277" s="208">
        <v>0</v>
      </c>
      <c r="I277" s="211">
        <v>0</v>
      </c>
      <c r="J277" s="437"/>
    </row>
    <row r="278" spans="1:10">
      <c r="A278" s="435"/>
      <c r="B278" s="418"/>
      <c r="C278" s="196">
        <v>0</v>
      </c>
      <c r="D278" s="199">
        <v>0</v>
      </c>
      <c r="E278" s="202">
        <v>0</v>
      </c>
      <c r="F278" s="419"/>
      <c r="G278" s="205">
        <v>0</v>
      </c>
      <c r="H278" s="208">
        <v>0</v>
      </c>
      <c r="I278" s="211">
        <v>0</v>
      </c>
      <c r="J278" s="437"/>
    </row>
    <row r="279" spans="1:10" ht="15.75" thickBot="1">
      <c r="A279" s="435"/>
      <c r="B279" s="418"/>
      <c r="C279" s="197">
        <v>0</v>
      </c>
      <c r="D279" s="200">
        <v>0</v>
      </c>
      <c r="E279" s="203">
        <v>0</v>
      </c>
      <c r="F279" s="440"/>
      <c r="G279" s="206">
        <v>0</v>
      </c>
      <c r="H279" s="209">
        <v>0</v>
      </c>
      <c r="I279" s="212">
        <v>0</v>
      </c>
      <c r="J279" s="438"/>
    </row>
    <row r="280" spans="1:10">
      <c r="A280" s="434" t="s">
        <v>877</v>
      </c>
      <c r="B280" s="439" t="s">
        <v>1196</v>
      </c>
      <c r="C280" s="196">
        <v>0</v>
      </c>
      <c r="D280" s="199">
        <v>0</v>
      </c>
      <c r="E280" s="202">
        <v>0</v>
      </c>
      <c r="F280" s="419" t="s">
        <v>1196</v>
      </c>
      <c r="G280" s="205">
        <v>0</v>
      </c>
      <c r="H280" s="208">
        <v>0</v>
      </c>
      <c r="I280" s="211">
        <v>0</v>
      </c>
      <c r="J280" s="437" t="s">
        <v>15</v>
      </c>
    </row>
    <row r="281" spans="1:10">
      <c r="A281" s="435"/>
      <c r="B281" s="418"/>
      <c r="C281" s="196">
        <v>0</v>
      </c>
      <c r="D281" s="199">
        <v>0</v>
      </c>
      <c r="E281" s="202">
        <v>0</v>
      </c>
      <c r="F281" s="419"/>
      <c r="G281" s="205">
        <v>0</v>
      </c>
      <c r="H281" s="208">
        <v>0</v>
      </c>
      <c r="I281" s="211">
        <v>0</v>
      </c>
      <c r="J281" s="437"/>
    </row>
    <row r="282" spans="1:10">
      <c r="A282" s="435"/>
      <c r="B282" s="418"/>
      <c r="C282" s="196">
        <v>0</v>
      </c>
      <c r="D282" s="199">
        <v>0</v>
      </c>
      <c r="E282" s="202">
        <v>0</v>
      </c>
      <c r="F282" s="419"/>
      <c r="G282" s="205">
        <v>0</v>
      </c>
      <c r="H282" s="208">
        <v>0</v>
      </c>
      <c r="I282" s="211">
        <v>0</v>
      </c>
      <c r="J282" s="437"/>
    </row>
    <row r="283" spans="1:10">
      <c r="A283" s="435"/>
      <c r="B283" s="418"/>
      <c r="C283" s="196">
        <v>0</v>
      </c>
      <c r="D283" s="199">
        <v>0</v>
      </c>
      <c r="E283" s="202">
        <v>0</v>
      </c>
      <c r="F283" s="419"/>
      <c r="G283" s="205">
        <v>0</v>
      </c>
      <c r="H283" s="208">
        <v>0</v>
      </c>
      <c r="I283" s="211">
        <v>0</v>
      </c>
      <c r="J283" s="437"/>
    </row>
    <row r="284" spans="1:10">
      <c r="A284" s="435"/>
      <c r="B284" s="418"/>
      <c r="C284" s="196">
        <v>0</v>
      </c>
      <c r="D284" s="199">
        <v>0</v>
      </c>
      <c r="E284" s="202">
        <v>0</v>
      </c>
      <c r="F284" s="419"/>
      <c r="G284" s="205">
        <v>0</v>
      </c>
      <c r="H284" s="208">
        <v>0</v>
      </c>
      <c r="I284" s="211">
        <v>0</v>
      </c>
      <c r="J284" s="437"/>
    </row>
    <row r="285" spans="1:10" ht="15.75" thickBot="1">
      <c r="A285" s="435"/>
      <c r="B285" s="418"/>
      <c r="C285" s="197">
        <v>0</v>
      </c>
      <c r="D285" s="200">
        <v>0</v>
      </c>
      <c r="E285" s="203">
        <v>0</v>
      </c>
      <c r="F285" s="440"/>
      <c r="G285" s="206">
        <v>0</v>
      </c>
      <c r="H285" s="209">
        <v>0</v>
      </c>
      <c r="I285" s="212">
        <v>0</v>
      </c>
      <c r="J285" s="438"/>
    </row>
    <row r="286" spans="1:10">
      <c r="A286" s="434" t="s">
        <v>878</v>
      </c>
      <c r="B286" s="439" t="s">
        <v>1196</v>
      </c>
      <c r="C286" s="196">
        <v>0</v>
      </c>
      <c r="D286" s="199">
        <v>0</v>
      </c>
      <c r="E286" s="202">
        <v>0</v>
      </c>
      <c r="F286" s="419" t="s">
        <v>1196</v>
      </c>
      <c r="G286" s="205">
        <v>0</v>
      </c>
      <c r="H286" s="208">
        <v>0</v>
      </c>
      <c r="I286" s="211">
        <v>0</v>
      </c>
      <c r="J286" s="437" t="s">
        <v>15</v>
      </c>
    </row>
    <row r="287" spans="1:10">
      <c r="A287" s="435"/>
      <c r="B287" s="418"/>
      <c r="C287" s="196">
        <v>0</v>
      </c>
      <c r="D287" s="199">
        <v>0</v>
      </c>
      <c r="E287" s="202">
        <v>0</v>
      </c>
      <c r="F287" s="419"/>
      <c r="G287" s="205">
        <v>0</v>
      </c>
      <c r="H287" s="208">
        <v>0</v>
      </c>
      <c r="I287" s="211">
        <v>0</v>
      </c>
      <c r="J287" s="437"/>
    </row>
    <row r="288" spans="1:10">
      <c r="A288" s="435"/>
      <c r="B288" s="418"/>
      <c r="C288" s="196">
        <v>0</v>
      </c>
      <c r="D288" s="199">
        <v>0</v>
      </c>
      <c r="E288" s="202">
        <v>0</v>
      </c>
      <c r="F288" s="419"/>
      <c r="G288" s="205">
        <v>0</v>
      </c>
      <c r="H288" s="208">
        <v>0</v>
      </c>
      <c r="I288" s="211">
        <v>0</v>
      </c>
      <c r="J288" s="437"/>
    </row>
    <row r="289" spans="1:10">
      <c r="A289" s="435"/>
      <c r="B289" s="418"/>
      <c r="C289" s="196">
        <v>0</v>
      </c>
      <c r="D289" s="199">
        <v>0</v>
      </c>
      <c r="E289" s="202">
        <v>0</v>
      </c>
      <c r="F289" s="419"/>
      <c r="G289" s="205">
        <v>0</v>
      </c>
      <c r="H289" s="208">
        <v>0</v>
      </c>
      <c r="I289" s="211">
        <v>0</v>
      </c>
      <c r="J289" s="437"/>
    </row>
    <row r="290" spans="1:10">
      <c r="A290" s="435"/>
      <c r="B290" s="418"/>
      <c r="C290" s="196">
        <v>0</v>
      </c>
      <c r="D290" s="199">
        <v>0</v>
      </c>
      <c r="E290" s="202">
        <v>0</v>
      </c>
      <c r="F290" s="419"/>
      <c r="G290" s="205">
        <v>0</v>
      </c>
      <c r="H290" s="208">
        <v>0</v>
      </c>
      <c r="I290" s="211">
        <v>0</v>
      </c>
      <c r="J290" s="437"/>
    </row>
    <row r="291" spans="1:10" ht="15.75" thickBot="1">
      <c r="A291" s="435"/>
      <c r="B291" s="418"/>
      <c r="C291" s="197">
        <v>0</v>
      </c>
      <c r="D291" s="200">
        <v>0</v>
      </c>
      <c r="E291" s="203">
        <v>0</v>
      </c>
      <c r="F291" s="440"/>
      <c r="G291" s="206">
        <v>0</v>
      </c>
      <c r="H291" s="209">
        <v>0</v>
      </c>
      <c r="I291" s="212">
        <v>0</v>
      </c>
      <c r="J291" s="437"/>
    </row>
    <row r="292" spans="1:10">
      <c r="A292" s="434" t="s">
        <v>879</v>
      </c>
      <c r="B292" s="439" t="s">
        <v>1196</v>
      </c>
      <c r="C292" s="196">
        <v>0</v>
      </c>
      <c r="D292" s="199">
        <v>0</v>
      </c>
      <c r="E292" s="202">
        <v>0</v>
      </c>
      <c r="F292" s="419" t="s">
        <v>1196</v>
      </c>
      <c r="G292" s="205">
        <v>0</v>
      </c>
      <c r="H292" s="208">
        <v>0</v>
      </c>
      <c r="I292" s="211">
        <v>0</v>
      </c>
      <c r="J292" s="436" t="s">
        <v>15</v>
      </c>
    </row>
    <row r="293" spans="1:10">
      <c r="A293" s="435"/>
      <c r="B293" s="418"/>
      <c r="C293" s="196">
        <v>0</v>
      </c>
      <c r="D293" s="199">
        <v>0</v>
      </c>
      <c r="E293" s="202">
        <v>0</v>
      </c>
      <c r="F293" s="419"/>
      <c r="G293" s="205">
        <v>0</v>
      </c>
      <c r="H293" s="208">
        <v>0</v>
      </c>
      <c r="I293" s="211">
        <v>0</v>
      </c>
      <c r="J293" s="437"/>
    </row>
    <row r="294" spans="1:10">
      <c r="A294" s="435"/>
      <c r="B294" s="418"/>
      <c r="C294" s="196">
        <v>0</v>
      </c>
      <c r="D294" s="199">
        <v>0</v>
      </c>
      <c r="E294" s="202">
        <v>0</v>
      </c>
      <c r="F294" s="419"/>
      <c r="G294" s="205">
        <v>0</v>
      </c>
      <c r="H294" s="208">
        <v>0</v>
      </c>
      <c r="I294" s="211">
        <v>0</v>
      </c>
      <c r="J294" s="437"/>
    </row>
    <row r="295" spans="1:10">
      <c r="A295" s="435"/>
      <c r="B295" s="418"/>
      <c r="C295" s="196">
        <v>0</v>
      </c>
      <c r="D295" s="199">
        <v>0</v>
      </c>
      <c r="E295" s="202">
        <v>0</v>
      </c>
      <c r="F295" s="419"/>
      <c r="G295" s="205">
        <v>0</v>
      </c>
      <c r="H295" s="208">
        <v>0</v>
      </c>
      <c r="I295" s="211">
        <v>0</v>
      </c>
      <c r="J295" s="437"/>
    </row>
    <row r="296" spans="1:10">
      <c r="A296" s="435"/>
      <c r="B296" s="418"/>
      <c r="C296" s="196">
        <v>0</v>
      </c>
      <c r="D296" s="199">
        <v>0</v>
      </c>
      <c r="E296" s="202">
        <v>0</v>
      </c>
      <c r="F296" s="419"/>
      <c r="G296" s="205">
        <v>0</v>
      </c>
      <c r="H296" s="208">
        <v>0</v>
      </c>
      <c r="I296" s="211">
        <v>0</v>
      </c>
      <c r="J296" s="437"/>
    </row>
    <row r="297" spans="1:10" ht="15.75" thickBot="1">
      <c r="A297" s="435"/>
      <c r="B297" s="418"/>
      <c r="C297" s="197">
        <v>0</v>
      </c>
      <c r="D297" s="200">
        <v>0</v>
      </c>
      <c r="E297" s="203">
        <v>0</v>
      </c>
      <c r="F297" s="440"/>
      <c r="G297" s="206">
        <v>0</v>
      </c>
      <c r="H297" s="209">
        <v>0</v>
      </c>
      <c r="I297" s="212">
        <v>0</v>
      </c>
      <c r="J297" s="438"/>
    </row>
    <row r="298" spans="1:10">
      <c r="A298" s="434" t="s">
        <v>880</v>
      </c>
      <c r="B298" s="439" t="s">
        <v>1196</v>
      </c>
      <c r="C298" s="196">
        <v>0</v>
      </c>
      <c r="D298" s="199">
        <v>0</v>
      </c>
      <c r="E298" s="202">
        <v>0</v>
      </c>
      <c r="F298" s="419" t="s">
        <v>1196</v>
      </c>
      <c r="G298" s="205">
        <v>0</v>
      </c>
      <c r="H298" s="208">
        <v>0</v>
      </c>
      <c r="I298" s="211">
        <v>0</v>
      </c>
      <c r="J298" s="437" t="s">
        <v>15</v>
      </c>
    </row>
    <row r="299" spans="1:10">
      <c r="A299" s="435"/>
      <c r="B299" s="418"/>
      <c r="C299" s="196">
        <v>0</v>
      </c>
      <c r="D299" s="199">
        <v>0</v>
      </c>
      <c r="E299" s="202">
        <v>0</v>
      </c>
      <c r="F299" s="419"/>
      <c r="G299" s="205">
        <v>0</v>
      </c>
      <c r="H299" s="208">
        <v>0</v>
      </c>
      <c r="I299" s="211">
        <v>0</v>
      </c>
      <c r="J299" s="437"/>
    </row>
    <row r="300" spans="1:10">
      <c r="A300" s="435"/>
      <c r="B300" s="418"/>
      <c r="C300" s="196">
        <v>0</v>
      </c>
      <c r="D300" s="199">
        <v>0</v>
      </c>
      <c r="E300" s="202">
        <v>0</v>
      </c>
      <c r="F300" s="419"/>
      <c r="G300" s="205">
        <v>0</v>
      </c>
      <c r="H300" s="208">
        <v>0</v>
      </c>
      <c r="I300" s="211">
        <v>0</v>
      </c>
      <c r="J300" s="437"/>
    </row>
    <row r="301" spans="1:10">
      <c r="A301" s="435"/>
      <c r="B301" s="418"/>
      <c r="C301" s="196">
        <v>0</v>
      </c>
      <c r="D301" s="199">
        <v>0</v>
      </c>
      <c r="E301" s="202">
        <v>0</v>
      </c>
      <c r="F301" s="419"/>
      <c r="G301" s="205">
        <v>0</v>
      </c>
      <c r="H301" s="208">
        <v>0</v>
      </c>
      <c r="I301" s="211">
        <v>0</v>
      </c>
      <c r="J301" s="437"/>
    </row>
    <row r="302" spans="1:10">
      <c r="A302" s="435"/>
      <c r="B302" s="418"/>
      <c r="C302" s="196">
        <v>0</v>
      </c>
      <c r="D302" s="199">
        <v>0</v>
      </c>
      <c r="E302" s="202">
        <v>0</v>
      </c>
      <c r="F302" s="419"/>
      <c r="G302" s="205">
        <v>0</v>
      </c>
      <c r="H302" s="208">
        <v>0</v>
      </c>
      <c r="I302" s="211">
        <v>0</v>
      </c>
      <c r="J302" s="437"/>
    </row>
    <row r="303" spans="1:10" ht="15.75" thickBot="1">
      <c r="A303" s="435"/>
      <c r="B303" s="418"/>
      <c r="C303" s="197">
        <v>0</v>
      </c>
      <c r="D303" s="200">
        <v>0</v>
      </c>
      <c r="E303" s="203">
        <v>0</v>
      </c>
      <c r="F303" s="440"/>
      <c r="G303" s="206">
        <v>0</v>
      </c>
      <c r="H303" s="209">
        <v>0</v>
      </c>
      <c r="I303" s="212">
        <v>0</v>
      </c>
      <c r="J303" s="438"/>
    </row>
    <row r="304" spans="1:10">
      <c r="A304" s="434" t="s">
        <v>881</v>
      </c>
      <c r="B304" s="439" t="s">
        <v>1196</v>
      </c>
      <c r="C304" s="196">
        <v>0</v>
      </c>
      <c r="D304" s="199">
        <v>0</v>
      </c>
      <c r="E304" s="202">
        <v>0</v>
      </c>
      <c r="F304" s="419" t="s">
        <v>1196</v>
      </c>
      <c r="G304" s="205">
        <v>0</v>
      </c>
      <c r="H304" s="208">
        <v>0</v>
      </c>
      <c r="I304" s="211">
        <v>0</v>
      </c>
      <c r="J304" s="437" t="s">
        <v>15</v>
      </c>
    </row>
    <row r="305" spans="1:10">
      <c r="A305" s="435"/>
      <c r="B305" s="418"/>
      <c r="C305" s="196">
        <v>0</v>
      </c>
      <c r="D305" s="199">
        <v>0</v>
      </c>
      <c r="E305" s="202">
        <v>0</v>
      </c>
      <c r="F305" s="419"/>
      <c r="G305" s="205">
        <v>0</v>
      </c>
      <c r="H305" s="208">
        <v>0</v>
      </c>
      <c r="I305" s="211">
        <v>0</v>
      </c>
      <c r="J305" s="437"/>
    </row>
    <row r="306" spans="1:10">
      <c r="A306" s="435"/>
      <c r="B306" s="418"/>
      <c r="C306" s="196">
        <v>0</v>
      </c>
      <c r="D306" s="199">
        <v>0</v>
      </c>
      <c r="E306" s="202">
        <v>0</v>
      </c>
      <c r="F306" s="419"/>
      <c r="G306" s="205">
        <v>0</v>
      </c>
      <c r="H306" s="208">
        <v>0</v>
      </c>
      <c r="I306" s="211">
        <v>0</v>
      </c>
      <c r="J306" s="437"/>
    </row>
    <row r="307" spans="1:10">
      <c r="A307" s="435"/>
      <c r="B307" s="418"/>
      <c r="C307" s="196">
        <v>0</v>
      </c>
      <c r="D307" s="199">
        <v>0</v>
      </c>
      <c r="E307" s="202">
        <v>0</v>
      </c>
      <c r="F307" s="419"/>
      <c r="G307" s="205">
        <v>0</v>
      </c>
      <c r="H307" s="208">
        <v>0</v>
      </c>
      <c r="I307" s="211">
        <v>0</v>
      </c>
      <c r="J307" s="437"/>
    </row>
    <row r="308" spans="1:10">
      <c r="A308" s="435"/>
      <c r="B308" s="418"/>
      <c r="C308" s="196">
        <v>0</v>
      </c>
      <c r="D308" s="199">
        <v>0</v>
      </c>
      <c r="E308" s="202">
        <v>0</v>
      </c>
      <c r="F308" s="419"/>
      <c r="G308" s="205">
        <v>0</v>
      </c>
      <c r="H308" s="208">
        <v>0</v>
      </c>
      <c r="I308" s="211">
        <v>0</v>
      </c>
      <c r="J308" s="437"/>
    </row>
    <row r="309" spans="1:10" ht="15.75" thickBot="1">
      <c r="A309" s="435"/>
      <c r="B309" s="418"/>
      <c r="C309" s="197">
        <v>0</v>
      </c>
      <c r="D309" s="200">
        <v>0</v>
      </c>
      <c r="E309" s="203">
        <v>0</v>
      </c>
      <c r="F309" s="440"/>
      <c r="G309" s="206">
        <v>0</v>
      </c>
      <c r="H309" s="209">
        <v>0</v>
      </c>
      <c r="I309" s="212">
        <v>0</v>
      </c>
      <c r="J309" s="437"/>
    </row>
    <row r="310" spans="1:10">
      <c r="A310" s="434" t="s">
        <v>882</v>
      </c>
      <c r="B310" s="439" t="s">
        <v>1196</v>
      </c>
      <c r="C310" s="196">
        <v>0</v>
      </c>
      <c r="D310" s="199">
        <v>0</v>
      </c>
      <c r="E310" s="202">
        <v>0</v>
      </c>
      <c r="F310" s="419" t="s">
        <v>1196</v>
      </c>
      <c r="G310" s="205">
        <v>0</v>
      </c>
      <c r="H310" s="208">
        <v>0</v>
      </c>
      <c r="I310" s="211">
        <v>0</v>
      </c>
      <c r="J310" s="436" t="s">
        <v>15</v>
      </c>
    </row>
    <row r="311" spans="1:10">
      <c r="A311" s="435"/>
      <c r="B311" s="418"/>
      <c r="C311" s="196">
        <v>0</v>
      </c>
      <c r="D311" s="199">
        <v>0</v>
      </c>
      <c r="E311" s="202">
        <v>0</v>
      </c>
      <c r="F311" s="419"/>
      <c r="G311" s="205">
        <v>0</v>
      </c>
      <c r="H311" s="208">
        <v>0</v>
      </c>
      <c r="I311" s="211">
        <v>0</v>
      </c>
      <c r="J311" s="437"/>
    </row>
    <row r="312" spans="1:10">
      <c r="A312" s="435"/>
      <c r="B312" s="418"/>
      <c r="C312" s="196">
        <v>0</v>
      </c>
      <c r="D312" s="199">
        <v>0</v>
      </c>
      <c r="E312" s="202">
        <v>0</v>
      </c>
      <c r="F312" s="419"/>
      <c r="G312" s="205">
        <v>0</v>
      </c>
      <c r="H312" s="208">
        <v>0</v>
      </c>
      <c r="I312" s="211">
        <v>0</v>
      </c>
      <c r="J312" s="437"/>
    </row>
    <row r="313" spans="1:10">
      <c r="A313" s="435"/>
      <c r="B313" s="418"/>
      <c r="C313" s="196">
        <v>0</v>
      </c>
      <c r="D313" s="199">
        <v>0</v>
      </c>
      <c r="E313" s="202">
        <v>0</v>
      </c>
      <c r="F313" s="419"/>
      <c r="G313" s="205">
        <v>0</v>
      </c>
      <c r="H313" s="208">
        <v>0</v>
      </c>
      <c r="I313" s="211">
        <v>0</v>
      </c>
      <c r="J313" s="437"/>
    </row>
    <row r="314" spans="1:10">
      <c r="A314" s="435"/>
      <c r="B314" s="418"/>
      <c r="C314" s="196">
        <v>0</v>
      </c>
      <c r="D314" s="199">
        <v>0</v>
      </c>
      <c r="E314" s="202">
        <v>0</v>
      </c>
      <c r="F314" s="419"/>
      <c r="G314" s="205">
        <v>0</v>
      </c>
      <c r="H314" s="208">
        <v>0</v>
      </c>
      <c r="I314" s="211">
        <v>0</v>
      </c>
      <c r="J314" s="437"/>
    </row>
    <row r="315" spans="1:10" ht="15.75" thickBot="1">
      <c r="A315" s="435"/>
      <c r="B315" s="418"/>
      <c r="C315" s="197">
        <v>0</v>
      </c>
      <c r="D315" s="200">
        <v>0</v>
      </c>
      <c r="E315" s="203">
        <v>0</v>
      </c>
      <c r="F315" s="440"/>
      <c r="G315" s="206">
        <v>0</v>
      </c>
      <c r="H315" s="209">
        <v>0</v>
      </c>
      <c r="I315" s="212">
        <v>0</v>
      </c>
      <c r="J315" s="438"/>
    </row>
    <row r="316" spans="1:10">
      <c r="A316" s="434" t="s">
        <v>883</v>
      </c>
      <c r="B316" s="439" t="s">
        <v>1196</v>
      </c>
      <c r="C316" s="196">
        <v>0</v>
      </c>
      <c r="D316" s="199">
        <v>0</v>
      </c>
      <c r="E316" s="202">
        <v>0</v>
      </c>
      <c r="F316" s="419" t="s">
        <v>1196</v>
      </c>
      <c r="G316" s="205">
        <v>0</v>
      </c>
      <c r="H316" s="208">
        <v>0</v>
      </c>
      <c r="I316" s="211">
        <v>0</v>
      </c>
      <c r="J316" s="437" t="s">
        <v>15</v>
      </c>
    </row>
    <row r="317" spans="1:10">
      <c r="A317" s="435"/>
      <c r="B317" s="418"/>
      <c r="C317" s="196">
        <v>0</v>
      </c>
      <c r="D317" s="199">
        <v>0</v>
      </c>
      <c r="E317" s="202">
        <v>0</v>
      </c>
      <c r="F317" s="418"/>
      <c r="G317" s="205">
        <v>0</v>
      </c>
      <c r="H317" s="208">
        <v>0</v>
      </c>
      <c r="I317" s="211">
        <v>0</v>
      </c>
      <c r="J317" s="437"/>
    </row>
    <row r="318" spans="1:10">
      <c r="A318" s="435"/>
      <c r="B318" s="418"/>
      <c r="C318" s="196">
        <v>0</v>
      </c>
      <c r="D318" s="199">
        <v>0</v>
      </c>
      <c r="E318" s="202">
        <v>0</v>
      </c>
      <c r="F318" s="418"/>
      <c r="G318" s="205">
        <v>0</v>
      </c>
      <c r="H318" s="208">
        <v>0</v>
      </c>
      <c r="I318" s="211">
        <v>0</v>
      </c>
      <c r="J318" s="437"/>
    </row>
    <row r="319" spans="1:10">
      <c r="A319" s="435"/>
      <c r="B319" s="418"/>
      <c r="C319" s="196">
        <v>0</v>
      </c>
      <c r="D319" s="199">
        <v>0</v>
      </c>
      <c r="E319" s="202">
        <v>0</v>
      </c>
      <c r="F319" s="418"/>
      <c r="G319" s="205">
        <v>0</v>
      </c>
      <c r="H319" s="208">
        <v>0</v>
      </c>
      <c r="I319" s="211">
        <v>0</v>
      </c>
      <c r="J319" s="437"/>
    </row>
    <row r="320" spans="1:10">
      <c r="A320" s="435"/>
      <c r="B320" s="418"/>
      <c r="C320" s="196">
        <v>0</v>
      </c>
      <c r="D320" s="199">
        <v>0</v>
      </c>
      <c r="E320" s="202">
        <v>0</v>
      </c>
      <c r="F320" s="418"/>
      <c r="G320" s="205">
        <v>0</v>
      </c>
      <c r="H320" s="208">
        <v>0</v>
      </c>
      <c r="I320" s="211">
        <v>0</v>
      </c>
      <c r="J320" s="437"/>
    </row>
    <row r="321" spans="1:11" ht="15.75" thickBot="1">
      <c r="A321" s="435"/>
      <c r="B321" s="418"/>
      <c r="C321" s="198">
        <v>0</v>
      </c>
      <c r="D321" s="201">
        <v>0</v>
      </c>
      <c r="E321" s="204">
        <v>0</v>
      </c>
      <c r="F321" s="418"/>
      <c r="G321" s="207">
        <v>0</v>
      </c>
      <c r="H321" s="210">
        <v>0</v>
      </c>
      <c r="I321" s="213">
        <v>0</v>
      </c>
      <c r="J321" s="437"/>
    </row>
    <row r="322" spans="1:11" ht="15.75" thickBot="1">
      <c r="A322" s="146" t="s">
        <v>1236</v>
      </c>
      <c r="B322" s="146" t="s">
        <v>1227</v>
      </c>
      <c r="C322" s="147" t="s">
        <v>1228</v>
      </c>
      <c r="D322" s="147" t="s">
        <v>1229</v>
      </c>
      <c r="E322" s="147" t="s">
        <v>1230</v>
      </c>
      <c r="F322" s="146" t="s">
        <v>1231</v>
      </c>
      <c r="G322" s="147" t="s">
        <v>1232</v>
      </c>
      <c r="H322" s="147" t="s">
        <v>1233</v>
      </c>
      <c r="I322" s="147" t="s">
        <v>1234</v>
      </c>
      <c r="J322" s="150" t="s">
        <v>466</v>
      </c>
      <c r="K322" s="149"/>
    </row>
    <row r="323" spans="1:11">
      <c r="A323" s="434" t="s">
        <v>43</v>
      </c>
      <c r="B323" s="439" t="s">
        <v>1196</v>
      </c>
      <c r="C323" s="214">
        <v>0</v>
      </c>
      <c r="D323" s="216">
        <v>0</v>
      </c>
      <c r="E323" s="218">
        <v>0</v>
      </c>
      <c r="F323" s="419" t="s">
        <v>1196</v>
      </c>
      <c r="G323" s="220">
        <v>0</v>
      </c>
      <c r="H323" s="222">
        <v>0</v>
      </c>
      <c r="I323" s="224">
        <v>0</v>
      </c>
      <c r="J323" s="436" t="str">
        <f>LTE_Band_filter!B5</f>
        <v>LTE_Band38</v>
      </c>
    </row>
    <row r="324" spans="1:11">
      <c r="A324" s="435"/>
      <c r="B324" s="418"/>
      <c r="C324" s="214">
        <v>0</v>
      </c>
      <c r="D324" s="216">
        <v>0</v>
      </c>
      <c r="E324" s="218">
        <v>0</v>
      </c>
      <c r="F324" s="419"/>
      <c r="G324" s="220">
        <v>0</v>
      </c>
      <c r="H324" s="222">
        <v>0</v>
      </c>
      <c r="I324" s="224">
        <v>0</v>
      </c>
      <c r="J324" s="437"/>
    </row>
    <row r="325" spans="1:11">
      <c r="A325" s="435"/>
      <c r="B325" s="418"/>
      <c r="C325" s="214">
        <v>0</v>
      </c>
      <c r="D325" s="216">
        <v>0</v>
      </c>
      <c r="E325" s="218">
        <v>0</v>
      </c>
      <c r="F325" s="419"/>
      <c r="G325" s="220">
        <v>0</v>
      </c>
      <c r="H325" s="222">
        <v>0</v>
      </c>
      <c r="I325" s="224">
        <v>0</v>
      </c>
      <c r="J325" s="437"/>
    </row>
    <row r="326" spans="1:11">
      <c r="A326" s="435"/>
      <c r="B326" s="418"/>
      <c r="C326" s="214">
        <v>0</v>
      </c>
      <c r="D326" s="216">
        <v>0</v>
      </c>
      <c r="E326" s="218">
        <v>0</v>
      </c>
      <c r="F326" s="419"/>
      <c r="G326" s="220">
        <v>0</v>
      </c>
      <c r="H326" s="222">
        <v>0</v>
      </c>
      <c r="I326" s="224">
        <v>0</v>
      </c>
      <c r="J326" s="437"/>
    </row>
    <row r="327" spans="1:11">
      <c r="A327" s="435"/>
      <c r="B327" s="418"/>
      <c r="C327" s="214">
        <v>0</v>
      </c>
      <c r="D327" s="216">
        <v>0</v>
      </c>
      <c r="E327" s="218">
        <v>0</v>
      </c>
      <c r="F327" s="419"/>
      <c r="G327" s="220">
        <v>0</v>
      </c>
      <c r="H327" s="222">
        <v>0</v>
      </c>
      <c r="I327" s="224">
        <v>0</v>
      </c>
      <c r="J327" s="437"/>
    </row>
    <row r="328" spans="1:11" ht="15.75" thickBot="1">
      <c r="A328" s="435"/>
      <c r="B328" s="418"/>
      <c r="C328" s="215">
        <v>0</v>
      </c>
      <c r="D328" s="217">
        <v>0</v>
      </c>
      <c r="E328" s="219">
        <v>0</v>
      </c>
      <c r="F328" s="440"/>
      <c r="G328" s="221">
        <v>0</v>
      </c>
      <c r="H328" s="223">
        <v>0</v>
      </c>
      <c r="I328" s="225">
        <v>0</v>
      </c>
      <c r="J328" s="438"/>
    </row>
    <row r="329" spans="1:11">
      <c r="A329" s="434" t="s">
        <v>45</v>
      </c>
      <c r="B329" s="439" t="s">
        <v>1196</v>
      </c>
      <c r="C329" s="214">
        <v>0</v>
      </c>
      <c r="D329" s="216">
        <v>0</v>
      </c>
      <c r="E329" s="218">
        <v>0</v>
      </c>
      <c r="F329" s="419" t="s">
        <v>1196</v>
      </c>
      <c r="G329" s="220">
        <v>0</v>
      </c>
      <c r="H329" s="222">
        <v>0</v>
      </c>
      <c r="I329" s="224">
        <v>0</v>
      </c>
      <c r="J329" s="436" t="str">
        <f>LTE_Band_filter!B6</f>
        <v>LTE_Band40</v>
      </c>
    </row>
    <row r="330" spans="1:11">
      <c r="A330" s="435"/>
      <c r="B330" s="419"/>
      <c r="C330" s="214">
        <v>0</v>
      </c>
      <c r="D330" s="216">
        <v>0</v>
      </c>
      <c r="E330" s="218">
        <v>0</v>
      </c>
      <c r="F330" s="419"/>
      <c r="G330" s="220">
        <v>0</v>
      </c>
      <c r="H330" s="222">
        <v>0</v>
      </c>
      <c r="I330" s="224">
        <v>0</v>
      </c>
      <c r="J330" s="437"/>
    </row>
    <row r="331" spans="1:11">
      <c r="A331" s="435"/>
      <c r="B331" s="419"/>
      <c r="C331" s="214">
        <v>0</v>
      </c>
      <c r="D331" s="216">
        <v>0</v>
      </c>
      <c r="E331" s="218">
        <v>0</v>
      </c>
      <c r="F331" s="419"/>
      <c r="G331" s="220">
        <v>0</v>
      </c>
      <c r="H331" s="222">
        <v>0</v>
      </c>
      <c r="I331" s="224">
        <v>0</v>
      </c>
      <c r="J331" s="437"/>
    </row>
    <row r="332" spans="1:11">
      <c r="A332" s="435"/>
      <c r="B332" s="419"/>
      <c r="C332" s="214">
        <v>0</v>
      </c>
      <c r="D332" s="216">
        <v>0</v>
      </c>
      <c r="E332" s="218">
        <v>0</v>
      </c>
      <c r="F332" s="419"/>
      <c r="G332" s="220">
        <v>0</v>
      </c>
      <c r="H332" s="222">
        <v>0</v>
      </c>
      <c r="I332" s="224">
        <v>0</v>
      </c>
      <c r="J332" s="437"/>
    </row>
    <row r="333" spans="1:11">
      <c r="A333" s="435"/>
      <c r="B333" s="419"/>
      <c r="C333" s="214">
        <v>0</v>
      </c>
      <c r="D333" s="216">
        <v>0</v>
      </c>
      <c r="E333" s="218">
        <v>0</v>
      </c>
      <c r="F333" s="419"/>
      <c r="G333" s="220">
        <v>0</v>
      </c>
      <c r="H333" s="222">
        <v>0</v>
      </c>
      <c r="I333" s="224">
        <v>0</v>
      </c>
      <c r="J333" s="437"/>
    </row>
    <row r="334" spans="1:11" ht="15.75" thickBot="1">
      <c r="A334" s="435"/>
      <c r="B334" s="440"/>
      <c r="C334" s="215">
        <v>0</v>
      </c>
      <c r="D334" s="217">
        <v>0</v>
      </c>
      <c r="E334" s="219">
        <v>0</v>
      </c>
      <c r="F334" s="440"/>
      <c r="G334" s="221">
        <v>0</v>
      </c>
      <c r="H334" s="223">
        <v>0</v>
      </c>
      <c r="I334" s="225">
        <v>0</v>
      </c>
      <c r="J334" s="438"/>
    </row>
    <row r="335" spans="1:11">
      <c r="A335" s="434" t="s">
        <v>46</v>
      </c>
      <c r="B335" s="439" t="s">
        <v>1196</v>
      </c>
      <c r="C335" s="214">
        <v>0</v>
      </c>
      <c r="D335" s="216">
        <v>0</v>
      </c>
      <c r="E335" s="218">
        <v>0</v>
      </c>
      <c r="F335" s="419" t="s">
        <v>1196</v>
      </c>
      <c r="G335" s="220">
        <v>0</v>
      </c>
      <c r="H335" s="222">
        <v>0</v>
      </c>
      <c r="I335" s="224">
        <v>0</v>
      </c>
      <c r="J335" s="436" t="str">
        <f>LTE_Band_filter!B7</f>
        <v>LTE_Band41</v>
      </c>
    </row>
    <row r="336" spans="1:11">
      <c r="A336" s="435"/>
      <c r="B336" s="419"/>
      <c r="C336" s="214">
        <v>0</v>
      </c>
      <c r="D336" s="216">
        <v>0</v>
      </c>
      <c r="E336" s="218">
        <v>0</v>
      </c>
      <c r="F336" s="419"/>
      <c r="G336" s="220">
        <v>0</v>
      </c>
      <c r="H336" s="222">
        <v>0</v>
      </c>
      <c r="I336" s="224">
        <v>0</v>
      </c>
      <c r="J336" s="437"/>
    </row>
    <row r="337" spans="1:10">
      <c r="A337" s="435"/>
      <c r="B337" s="419"/>
      <c r="C337" s="214">
        <v>0</v>
      </c>
      <c r="D337" s="216">
        <v>0</v>
      </c>
      <c r="E337" s="218">
        <v>0</v>
      </c>
      <c r="F337" s="419"/>
      <c r="G337" s="220">
        <v>0</v>
      </c>
      <c r="H337" s="222">
        <v>0</v>
      </c>
      <c r="I337" s="224">
        <v>0</v>
      </c>
      <c r="J337" s="437"/>
    </row>
    <row r="338" spans="1:10">
      <c r="A338" s="435"/>
      <c r="B338" s="419"/>
      <c r="C338" s="214">
        <v>0</v>
      </c>
      <c r="D338" s="216">
        <v>0</v>
      </c>
      <c r="E338" s="218">
        <v>0</v>
      </c>
      <c r="F338" s="419"/>
      <c r="G338" s="220">
        <v>0</v>
      </c>
      <c r="H338" s="222">
        <v>0</v>
      </c>
      <c r="I338" s="224">
        <v>0</v>
      </c>
      <c r="J338" s="437"/>
    </row>
    <row r="339" spans="1:10">
      <c r="A339" s="435"/>
      <c r="B339" s="419"/>
      <c r="C339" s="214">
        <v>0</v>
      </c>
      <c r="D339" s="216">
        <v>0</v>
      </c>
      <c r="E339" s="218">
        <v>0</v>
      </c>
      <c r="F339" s="419"/>
      <c r="G339" s="220">
        <v>0</v>
      </c>
      <c r="H339" s="222">
        <v>0</v>
      </c>
      <c r="I339" s="224">
        <v>0</v>
      </c>
      <c r="J339" s="437"/>
    </row>
    <row r="340" spans="1:10" ht="15.75" thickBot="1">
      <c r="A340" s="435"/>
      <c r="B340" s="440"/>
      <c r="C340" s="215">
        <v>0</v>
      </c>
      <c r="D340" s="217">
        <v>0</v>
      </c>
      <c r="E340" s="219">
        <v>0</v>
      </c>
      <c r="F340" s="440"/>
      <c r="G340" s="221">
        <v>0</v>
      </c>
      <c r="H340" s="223">
        <v>0</v>
      </c>
      <c r="I340" s="225">
        <v>0</v>
      </c>
      <c r="J340" s="438"/>
    </row>
    <row r="341" spans="1:10">
      <c r="A341" s="434" t="s">
        <v>47</v>
      </c>
      <c r="B341" s="439" t="s">
        <v>1196</v>
      </c>
      <c r="C341" s="214">
        <v>0</v>
      </c>
      <c r="D341" s="216">
        <v>0</v>
      </c>
      <c r="E341" s="218">
        <v>0</v>
      </c>
      <c r="F341" s="419" t="s">
        <v>1196</v>
      </c>
      <c r="G341" s="220">
        <v>0</v>
      </c>
      <c r="H341" s="222">
        <v>0</v>
      </c>
      <c r="I341" s="224">
        <v>0</v>
      </c>
      <c r="J341" s="436" t="str">
        <f>LTE_Band_filter!B8</f>
        <v>LTE_BandNone</v>
      </c>
    </row>
    <row r="342" spans="1:10">
      <c r="A342" s="435"/>
      <c r="B342" s="418"/>
      <c r="C342" s="214">
        <v>0</v>
      </c>
      <c r="D342" s="216">
        <v>0</v>
      </c>
      <c r="E342" s="218">
        <v>0</v>
      </c>
      <c r="F342" s="419"/>
      <c r="G342" s="220">
        <v>0</v>
      </c>
      <c r="H342" s="222">
        <v>0</v>
      </c>
      <c r="I342" s="224">
        <v>0</v>
      </c>
      <c r="J342" s="437"/>
    </row>
    <row r="343" spans="1:10">
      <c r="A343" s="435"/>
      <c r="B343" s="418"/>
      <c r="C343" s="214">
        <v>0</v>
      </c>
      <c r="D343" s="216">
        <v>0</v>
      </c>
      <c r="E343" s="218">
        <v>0</v>
      </c>
      <c r="F343" s="419"/>
      <c r="G343" s="220">
        <v>0</v>
      </c>
      <c r="H343" s="222">
        <v>0</v>
      </c>
      <c r="I343" s="224">
        <v>0</v>
      </c>
      <c r="J343" s="437"/>
    </row>
    <row r="344" spans="1:10">
      <c r="A344" s="435"/>
      <c r="B344" s="418"/>
      <c r="C344" s="214">
        <v>0</v>
      </c>
      <c r="D344" s="216">
        <v>0</v>
      </c>
      <c r="E344" s="218">
        <v>0</v>
      </c>
      <c r="F344" s="419"/>
      <c r="G344" s="220">
        <v>0</v>
      </c>
      <c r="H344" s="222">
        <v>0</v>
      </c>
      <c r="I344" s="224">
        <v>0</v>
      </c>
      <c r="J344" s="437"/>
    </row>
    <row r="345" spans="1:10">
      <c r="A345" s="435"/>
      <c r="B345" s="418"/>
      <c r="C345" s="214">
        <v>0</v>
      </c>
      <c r="D345" s="216">
        <v>0</v>
      </c>
      <c r="E345" s="218">
        <v>0</v>
      </c>
      <c r="F345" s="419"/>
      <c r="G345" s="220">
        <v>0</v>
      </c>
      <c r="H345" s="222">
        <v>0</v>
      </c>
      <c r="I345" s="224">
        <v>0</v>
      </c>
      <c r="J345" s="437"/>
    </row>
    <row r="346" spans="1:10" ht="15.75" thickBot="1">
      <c r="A346" s="435"/>
      <c r="B346" s="418"/>
      <c r="C346" s="215">
        <v>0</v>
      </c>
      <c r="D346" s="217">
        <v>0</v>
      </c>
      <c r="E346" s="219">
        <v>0</v>
      </c>
      <c r="F346" s="440"/>
      <c r="G346" s="221">
        <v>0</v>
      </c>
      <c r="H346" s="223">
        <v>0</v>
      </c>
      <c r="I346" s="225">
        <v>0</v>
      </c>
      <c r="J346" s="438"/>
    </row>
    <row r="347" spans="1:10">
      <c r="A347" s="434" t="s">
        <v>48</v>
      </c>
      <c r="B347" s="439" t="s">
        <v>1196</v>
      </c>
      <c r="C347" s="214">
        <v>0</v>
      </c>
      <c r="D347" s="216">
        <v>0</v>
      </c>
      <c r="E347" s="218">
        <v>0</v>
      </c>
      <c r="F347" s="419" t="s">
        <v>1196</v>
      </c>
      <c r="G347" s="220">
        <v>0</v>
      </c>
      <c r="H347" s="222">
        <v>0</v>
      </c>
      <c r="I347" s="224">
        <v>0</v>
      </c>
      <c r="J347" s="436" t="str">
        <f>LTE_Band_filter!B9</f>
        <v>LTE_BandNone</v>
      </c>
    </row>
    <row r="348" spans="1:10">
      <c r="A348" s="441"/>
      <c r="B348" s="419"/>
      <c r="C348" s="214">
        <v>0</v>
      </c>
      <c r="D348" s="216">
        <v>0</v>
      </c>
      <c r="E348" s="218">
        <v>0</v>
      </c>
      <c r="F348" s="419"/>
      <c r="G348" s="220">
        <v>0</v>
      </c>
      <c r="H348" s="222">
        <v>0</v>
      </c>
      <c r="I348" s="224">
        <v>0</v>
      </c>
      <c r="J348" s="437"/>
    </row>
    <row r="349" spans="1:10">
      <c r="A349" s="441"/>
      <c r="B349" s="419"/>
      <c r="C349" s="214">
        <v>0</v>
      </c>
      <c r="D349" s="216">
        <v>0</v>
      </c>
      <c r="E349" s="218">
        <v>0</v>
      </c>
      <c r="F349" s="419"/>
      <c r="G349" s="220">
        <v>0</v>
      </c>
      <c r="H349" s="222">
        <v>0</v>
      </c>
      <c r="I349" s="224">
        <v>0</v>
      </c>
      <c r="J349" s="437"/>
    </row>
    <row r="350" spans="1:10">
      <c r="A350" s="441"/>
      <c r="B350" s="419"/>
      <c r="C350" s="214">
        <v>0</v>
      </c>
      <c r="D350" s="216">
        <v>0</v>
      </c>
      <c r="E350" s="218">
        <v>0</v>
      </c>
      <c r="F350" s="419"/>
      <c r="G350" s="220">
        <v>0</v>
      </c>
      <c r="H350" s="222">
        <v>0</v>
      </c>
      <c r="I350" s="224">
        <v>0</v>
      </c>
      <c r="J350" s="437"/>
    </row>
    <row r="351" spans="1:10">
      <c r="A351" s="441"/>
      <c r="B351" s="419"/>
      <c r="C351" s="214">
        <v>0</v>
      </c>
      <c r="D351" s="216">
        <v>0</v>
      </c>
      <c r="E351" s="218">
        <v>0</v>
      </c>
      <c r="F351" s="419"/>
      <c r="G351" s="220">
        <v>0</v>
      </c>
      <c r="H351" s="222">
        <v>0</v>
      </c>
      <c r="I351" s="224">
        <v>0</v>
      </c>
      <c r="J351" s="437"/>
    </row>
    <row r="352" spans="1:10" ht="15.75" thickBot="1">
      <c r="A352" s="442"/>
      <c r="B352" s="440"/>
      <c r="C352" s="215">
        <v>0</v>
      </c>
      <c r="D352" s="217">
        <v>0</v>
      </c>
      <c r="E352" s="219">
        <v>0</v>
      </c>
      <c r="F352" s="440"/>
      <c r="G352" s="221">
        <v>0</v>
      </c>
      <c r="H352" s="223">
        <v>0</v>
      </c>
      <c r="I352" s="225">
        <v>0</v>
      </c>
      <c r="J352" s="438"/>
    </row>
    <row r="353" spans="1:4" ht="15.75" thickBot="1">
      <c r="A353" s="15" t="s">
        <v>749</v>
      </c>
    </row>
    <row r="355" spans="1:4" ht="15.75" thickBot="1"/>
    <row r="356" spans="1:4" ht="15.75" thickBot="1">
      <c r="A356" s="396" t="s">
        <v>1701</v>
      </c>
      <c r="B356" s="397"/>
      <c r="C356" s="397"/>
      <c r="D356" s="397"/>
    </row>
    <row r="357" spans="1:4" ht="90.75" thickBot="1">
      <c r="A357" s="398" t="s">
        <v>1702</v>
      </c>
      <c r="B357" s="398" t="s">
        <v>1703</v>
      </c>
      <c r="C357" s="399" t="s">
        <v>1704</v>
      </c>
      <c r="D357" s="397"/>
    </row>
    <row r="358" spans="1:4">
      <c r="A358" s="400" t="s">
        <v>10</v>
      </c>
      <c r="B358" s="401">
        <v>5</v>
      </c>
      <c r="C358" s="401" t="s">
        <v>1705</v>
      </c>
      <c r="D358" s="402" t="s">
        <v>1706</v>
      </c>
    </row>
    <row r="359" spans="1:4">
      <c r="A359" s="403" t="s">
        <v>15</v>
      </c>
      <c r="B359" s="404">
        <v>0</v>
      </c>
      <c r="C359" s="404">
        <v>0</v>
      </c>
      <c r="D359" s="405" t="s">
        <v>1707</v>
      </c>
    </row>
    <row r="360" spans="1:4">
      <c r="A360" s="403" t="s">
        <v>15</v>
      </c>
      <c r="B360" s="404">
        <v>0</v>
      </c>
      <c r="C360" s="404">
        <v>0</v>
      </c>
      <c r="D360" s="405" t="s">
        <v>1708</v>
      </c>
    </row>
    <row r="361" spans="1:4">
      <c r="A361" s="403" t="s">
        <v>15</v>
      </c>
      <c r="B361" s="404">
        <v>0</v>
      </c>
      <c r="C361" s="404">
        <v>0</v>
      </c>
      <c r="D361" s="405" t="s">
        <v>1709</v>
      </c>
    </row>
    <row r="362" spans="1:4">
      <c r="A362" s="403" t="s">
        <v>15</v>
      </c>
      <c r="B362" s="404">
        <v>0</v>
      </c>
      <c r="C362" s="404">
        <v>0</v>
      </c>
      <c r="D362" s="405" t="s">
        <v>1710</v>
      </c>
    </row>
    <row r="363" spans="1:4">
      <c r="A363" s="403" t="s">
        <v>15</v>
      </c>
      <c r="B363" s="404">
        <v>0</v>
      </c>
      <c r="C363" s="404">
        <v>0</v>
      </c>
      <c r="D363" s="405" t="s">
        <v>1711</v>
      </c>
    </row>
    <row r="364" spans="1:4">
      <c r="A364" s="403" t="s">
        <v>15</v>
      </c>
      <c r="B364" s="404">
        <v>0</v>
      </c>
      <c r="C364" s="404">
        <v>0</v>
      </c>
      <c r="D364" s="405" t="s">
        <v>1712</v>
      </c>
    </row>
    <row r="365" spans="1:4">
      <c r="A365" s="403" t="s">
        <v>15</v>
      </c>
      <c r="B365" s="404">
        <v>0</v>
      </c>
      <c r="C365" s="404">
        <v>0</v>
      </c>
      <c r="D365" s="405" t="s">
        <v>1713</v>
      </c>
    </row>
    <row r="366" spans="1:4">
      <c r="A366" s="403" t="s">
        <v>15</v>
      </c>
      <c r="B366" s="404">
        <v>0</v>
      </c>
      <c r="C366" s="404">
        <v>0</v>
      </c>
      <c r="D366" s="405" t="s">
        <v>1714</v>
      </c>
    </row>
    <row r="367" spans="1:4">
      <c r="A367" s="403" t="s">
        <v>15</v>
      </c>
      <c r="B367" s="404">
        <v>0</v>
      </c>
      <c r="C367" s="404">
        <v>0</v>
      </c>
      <c r="D367" s="405" t="s">
        <v>1715</v>
      </c>
    </row>
    <row r="368" spans="1:4">
      <c r="A368" s="403" t="s">
        <v>15</v>
      </c>
      <c r="B368" s="404">
        <v>0</v>
      </c>
      <c r="C368" s="404">
        <v>0</v>
      </c>
      <c r="D368" s="405" t="s">
        <v>1716</v>
      </c>
    </row>
    <row r="369" spans="1:4">
      <c r="A369" s="403" t="s">
        <v>15</v>
      </c>
      <c r="B369" s="404">
        <v>0</v>
      </c>
      <c r="C369" s="404">
        <v>0</v>
      </c>
      <c r="D369" s="405" t="s">
        <v>1717</v>
      </c>
    </row>
    <row r="370" spans="1:4">
      <c r="A370" s="403" t="s">
        <v>15</v>
      </c>
      <c r="B370" s="404">
        <v>0</v>
      </c>
      <c r="C370" s="404">
        <v>0</v>
      </c>
      <c r="D370" s="405" t="s">
        <v>1718</v>
      </c>
    </row>
    <row r="371" spans="1:4">
      <c r="A371" s="403" t="s">
        <v>15</v>
      </c>
      <c r="B371" s="404">
        <v>0</v>
      </c>
      <c r="C371" s="404">
        <v>0</v>
      </c>
      <c r="D371" s="405" t="s">
        <v>1719</v>
      </c>
    </row>
    <row r="372" spans="1:4">
      <c r="A372" s="403" t="s">
        <v>15</v>
      </c>
      <c r="B372" s="404">
        <v>0</v>
      </c>
      <c r="C372" s="404">
        <v>0</v>
      </c>
      <c r="D372" s="405" t="s">
        <v>1720</v>
      </c>
    </row>
    <row r="373" spans="1:4">
      <c r="A373" s="403" t="s">
        <v>15</v>
      </c>
      <c r="B373" s="404">
        <v>0</v>
      </c>
      <c r="C373" s="404">
        <v>0</v>
      </c>
      <c r="D373" s="405" t="s">
        <v>1721</v>
      </c>
    </row>
    <row r="374" spans="1:4">
      <c r="A374" s="403" t="s">
        <v>15</v>
      </c>
      <c r="B374" s="404">
        <v>0</v>
      </c>
      <c r="C374" s="404">
        <v>0</v>
      </c>
      <c r="D374" s="405" t="s">
        <v>1722</v>
      </c>
    </row>
    <row r="375" spans="1:4">
      <c r="A375" s="403" t="s">
        <v>15</v>
      </c>
      <c r="B375" s="404">
        <v>0</v>
      </c>
      <c r="C375" s="404">
        <v>0</v>
      </c>
      <c r="D375" s="405" t="s">
        <v>1723</v>
      </c>
    </row>
    <row r="376" spans="1:4">
      <c r="A376" s="403" t="s">
        <v>15</v>
      </c>
      <c r="B376" s="404">
        <v>0</v>
      </c>
      <c r="C376" s="404">
        <v>0</v>
      </c>
      <c r="D376" s="405" t="s">
        <v>1724</v>
      </c>
    </row>
    <row r="377" spans="1:4">
      <c r="A377" s="403" t="s">
        <v>15</v>
      </c>
      <c r="B377" s="404">
        <v>0</v>
      </c>
      <c r="C377" s="404">
        <v>0</v>
      </c>
      <c r="D377" s="405" t="s">
        <v>1725</v>
      </c>
    </row>
    <row r="378" spans="1:4">
      <c r="A378" s="403" t="s">
        <v>15</v>
      </c>
      <c r="B378" s="404">
        <v>0</v>
      </c>
      <c r="C378" s="404">
        <v>0</v>
      </c>
      <c r="D378" s="405" t="s">
        <v>1726</v>
      </c>
    </row>
    <row r="379" spans="1:4">
      <c r="A379" s="403" t="s">
        <v>15</v>
      </c>
      <c r="B379" s="404">
        <v>0</v>
      </c>
      <c r="C379" s="404">
        <v>0</v>
      </c>
      <c r="D379" s="405" t="s">
        <v>1727</v>
      </c>
    </row>
    <row r="380" spans="1:4">
      <c r="A380" s="403" t="s">
        <v>15</v>
      </c>
      <c r="B380" s="404">
        <v>0</v>
      </c>
      <c r="C380" s="404">
        <v>0</v>
      </c>
      <c r="D380" s="405" t="s">
        <v>1728</v>
      </c>
    </row>
    <row r="381" spans="1:4">
      <c r="A381" s="403" t="s">
        <v>15</v>
      </c>
      <c r="B381" s="404">
        <v>0</v>
      </c>
      <c r="C381" s="404">
        <v>0</v>
      </c>
      <c r="D381" s="405" t="s">
        <v>1729</v>
      </c>
    </row>
    <row r="382" spans="1:4">
      <c r="A382" s="403" t="s">
        <v>15</v>
      </c>
      <c r="B382" s="404">
        <v>0</v>
      </c>
      <c r="C382" s="404">
        <v>0</v>
      </c>
      <c r="D382" s="405" t="s">
        <v>1730</v>
      </c>
    </row>
    <row r="383" spans="1:4">
      <c r="A383" s="403" t="s">
        <v>15</v>
      </c>
      <c r="B383" s="404">
        <v>0</v>
      </c>
      <c r="C383" s="404">
        <v>0</v>
      </c>
      <c r="D383" s="405" t="s">
        <v>1731</v>
      </c>
    </row>
    <row r="384" spans="1:4">
      <c r="A384" s="403" t="s">
        <v>15</v>
      </c>
      <c r="B384" s="404">
        <v>0</v>
      </c>
      <c r="C384" s="404">
        <v>0</v>
      </c>
      <c r="D384" s="405" t="s">
        <v>1732</v>
      </c>
    </row>
    <row r="385" spans="1:4">
      <c r="A385" s="403" t="s">
        <v>15</v>
      </c>
      <c r="B385" s="404">
        <v>0</v>
      </c>
      <c r="C385" s="404">
        <v>0</v>
      </c>
      <c r="D385" s="405" t="s">
        <v>1733</v>
      </c>
    </row>
    <row r="386" spans="1:4">
      <c r="A386" s="403" t="s">
        <v>15</v>
      </c>
      <c r="B386" s="404">
        <v>0</v>
      </c>
      <c r="C386" s="404">
        <v>0</v>
      </c>
      <c r="D386" s="405" t="s">
        <v>1734</v>
      </c>
    </row>
    <row r="387" spans="1:4">
      <c r="A387" s="403" t="s">
        <v>15</v>
      </c>
      <c r="B387" s="404">
        <v>0</v>
      </c>
      <c r="C387" s="404">
        <v>0</v>
      </c>
      <c r="D387" s="405" t="s">
        <v>1735</v>
      </c>
    </row>
    <row r="388" spans="1:4">
      <c r="A388" s="403" t="s">
        <v>15</v>
      </c>
      <c r="B388" s="404">
        <v>0</v>
      </c>
      <c r="C388" s="404">
        <v>0</v>
      </c>
      <c r="D388" s="405" t="s">
        <v>1736</v>
      </c>
    </row>
    <row r="389" spans="1:4">
      <c r="A389" s="403" t="s">
        <v>15</v>
      </c>
      <c r="B389" s="404">
        <v>0</v>
      </c>
      <c r="C389" s="404">
        <v>0</v>
      </c>
      <c r="D389" s="405" t="s">
        <v>1737</v>
      </c>
    </row>
    <row r="390" spans="1:4">
      <c r="A390" s="403" t="s">
        <v>15</v>
      </c>
      <c r="B390" s="404">
        <v>0</v>
      </c>
      <c r="C390" s="404">
        <v>0</v>
      </c>
      <c r="D390" s="405" t="s">
        <v>1738</v>
      </c>
    </row>
    <row r="391" spans="1:4">
      <c r="A391" s="403" t="s">
        <v>15</v>
      </c>
      <c r="B391" s="404">
        <v>0</v>
      </c>
      <c r="C391" s="404">
        <v>0</v>
      </c>
      <c r="D391" s="405" t="s">
        <v>1739</v>
      </c>
    </row>
    <row r="392" spans="1:4">
      <c r="A392" s="403" t="s">
        <v>15</v>
      </c>
      <c r="B392" s="404">
        <v>0</v>
      </c>
      <c r="C392" s="404">
        <v>0</v>
      </c>
      <c r="D392" s="405" t="s">
        <v>1740</v>
      </c>
    </row>
    <row r="393" spans="1:4">
      <c r="A393" s="403" t="s">
        <v>15</v>
      </c>
      <c r="B393" s="404">
        <v>0</v>
      </c>
      <c r="C393" s="404">
        <v>0</v>
      </c>
      <c r="D393" s="405" t="s">
        <v>1741</v>
      </c>
    </row>
    <row r="394" spans="1:4">
      <c r="A394" s="403" t="s">
        <v>15</v>
      </c>
      <c r="B394" s="404">
        <v>0</v>
      </c>
      <c r="C394" s="404">
        <v>0</v>
      </c>
      <c r="D394" s="405" t="s">
        <v>1742</v>
      </c>
    </row>
    <row r="395" spans="1:4">
      <c r="A395" s="403" t="s">
        <v>15</v>
      </c>
      <c r="B395" s="404">
        <v>0</v>
      </c>
      <c r="C395" s="404">
        <v>0</v>
      </c>
      <c r="D395" s="405" t="s">
        <v>1743</v>
      </c>
    </row>
    <row r="396" spans="1:4">
      <c r="A396" s="403" t="s">
        <v>15</v>
      </c>
      <c r="B396" s="404">
        <v>0</v>
      </c>
      <c r="C396" s="404">
        <v>0</v>
      </c>
      <c r="D396" s="405" t="s">
        <v>1744</v>
      </c>
    </row>
    <row r="397" spans="1:4">
      <c r="A397" s="403" t="s">
        <v>15</v>
      </c>
      <c r="B397" s="404">
        <v>0</v>
      </c>
      <c r="C397" s="404">
        <v>0</v>
      </c>
      <c r="D397" s="405" t="s">
        <v>1745</v>
      </c>
    </row>
    <row r="398" spans="1:4">
      <c r="A398" s="403" t="s">
        <v>15</v>
      </c>
      <c r="B398" s="404">
        <v>0</v>
      </c>
      <c r="C398" s="404">
        <v>0</v>
      </c>
      <c r="D398" s="405" t="s">
        <v>1746</v>
      </c>
    </row>
    <row r="399" spans="1:4">
      <c r="A399" s="403" t="s">
        <v>15</v>
      </c>
      <c r="B399" s="404">
        <v>0</v>
      </c>
      <c r="C399" s="404">
        <v>0</v>
      </c>
      <c r="D399" s="405" t="s">
        <v>1747</v>
      </c>
    </row>
    <row r="400" spans="1:4">
      <c r="A400" s="403" t="s">
        <v>15</v>
      </c>
      <c r="B400" s="404">
        <v>0</v>
      </c>
      <c r="C400" s="404">
        <v>0</v>
      </c>
      <c r="D400" s="405" t="s">
        <v>1748</v>
      </c>
    </row>
    <row r="401" spans="1:4">
      <c r="A401" s="403" t="s">
        <v>15</v>
      </c>
      <c r="B401" s="404">
        <v>0</v>
      </c>
      <c r="C401" s="404">
        <v>0</v>
      </c>
      <c r="D401" s="405" t="s">
        <v>1749</v>
      </c>
    </row>
    <row r="402" spans="1:4">
      <c r="A402" s="403" t="s">
        <v>15</v>
      </c>
      <c r="B402" s="404">
        <v>0</v>
      </c>
      <c r="C402" s="404">
        <v>0</v>
      </c>
      <c r="D402" s="405" t="s">
        <v>1750</v>
      </c>
    </row>
    <row r="403" spans="1:4">
      <c r="A403" s="403" t="s">
        <v>15</v>
      </c>
      <c r="B403" s="404">
        <v>0</v>
      </c>
      <c r="C403" s="404">
        <v>0</v>
      </c>
      <c r="D403" s="405" t="s">
        <v>1751</v>
      </c>
    </row>
    <row r="404" spans="1:4">
      <c r="A404" s="403" t="s">
        <v>15</v>
      </c>
      <c r="B404" s="404">
        <v>0</v>
      </c>
      <c r="C404" s="404">
        <v>0</v>
      </c>
      <c r="D404" s="405" t="s">
        <v>1752</v>
      </c>
    </row>
    <row r="405" spans="1:4">
      <c r="A405" s="403" t="s">
        <v>15</v>
      </c>
      <c r="B405" s="404">
        <v>0</v>
      </c>
      <c r="C405" s="404">
        <v>0</v>
      </c>
      <c r="D405" s="405" t="s">
        <v>1753</v>
      </c>
    </row>
    <row r="406" spans="1:4">
      <c r="A406" s="403" t="s">
        <v>15</v>
      </c>
      <c r="B406" s="404">
        <v>0</v>
      </c>
      <c r="C406" s="404">
        <v>0</v>
      </c>
      <c r="D406" s="405" t="s">
        <v>1754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1755</v>
      </c>
    </row>
  </sheetData>
  <sheetProtection algorithmName="SHA-512" hashValue="IEeSNqVLnS+j00gmrHrAzmhQe+0+Ui6sSxqgYeA8kZTws6zaQ6m9XvzmxxxvnDlukJCSKv40mcHc6FzX70CpGA==" saltValue="4akEieyN9baQ2ZOzkLqKUQ==" spinCount="100000" sheet="1" objects="1" scenarios="1"/>
  <mergeCells count="220"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1490</v>
      </c>
    </row>
    <row r="4" spans="1:5">
      <c r="A4" s="162" t="s">
        <v>1007</v>
      </c>
    </row>
    <row r="5" spans="1:5" ht="15.75" thickBot="1"/>
    <row r="6" spans="1:5">
      <c r="A6" s="22" t="s">
        <v>1245</v>
      </c>
      <c r="B6" s="92"/>
    </row>
    <row r="7" spans="1:5" ht="15.75" thickBot="1">
      <c r="A7" s="112" t="s">
        <v>1534</v>
      </c>
      <c r="B7" s="113" t="s">
        <v>908</v>
      </c>
      <c r="C7" s="113" t="s">
        <v>909</v>
      </c>
      <c r="D7" s="113" t="s">
        <v>1325</v>
      </c>
      <c r="E7" s="114" t="s">
        <v>1326</v>
      </c>
    </row>
    <row r="8" spans="1:5" ht="15.75" thickBot="1">
      <c r="A8" s="124" t="s">
        <v>1646</v>
      </c>
      <c r="B8" s="16" t="s">
        <v>11</v>
      </c>
      <c r="C8" s="16" t="s">
        <v>11</v>
      </c>
      <c r="D8" s="14" t="s">
        <v>1247</v>
      </c>
      <c r="E8" s="413">
        <v>4</v>
      </c>
    </row>
    <row r="9" spans="1:5">
      <c r="A9" s="124" t="s">
        <v>1248</v>
      </c>
      <c r="B9" s="16" t="s">
        <v>11</v>
      </c>
      <c r="C9" s="16" t="s">
        <v>11</v>
      </c>
      <c r="D9" s="14" t="s">
        <v>1247</v>
      </c>
      <c r="E9" s="106"/>
    </row>
    <row r="10" spans="1:5">
      <c r="A10" s="124" t="s">
        <v>1249</v>
      </c>
      <c r="B10" s="16"/>
      <c r="C10" s="16"/>
      <c r="D10" s="14" t="s">
        <v>1247</v>
      </c>
      <c r="E10" s="106"/>
    </row>
    <row r="11" spans="1:5">
      <c r="A11" s="124" t="s">
        <v>1250</v>
      </c>
      <c r="B11" s="16"/>
      <c r="C11" s="16"/>
      <c r="D11" s="14" t="s">
        <v>1247</v>
      </c>
      <c r="E11" s="106"/>
    </row>
    <row r="12" spans="1:5" ht="15.75" thickBot="1">
      <c r="A12" s="5"/>
    </row>
    <row r="13" spans="1:5">
      <c r="A13" s="115" t="s">
        <v>1251</v>
      </c>
    </row>
    <row r="14" spans="1:5" ht="15.75" thickBot="1">
      <c r="A14" s="112" t="s">
        <v>1535</v>
      </c>
      <c r="B14" s="113" t="s">
        <v>908</v>
      </c>
      <c r="C14" s="113" t="s">
        <v>909</v>
      </c>
      <c r="D14" s="113" t="s">
        <v>1325</v>
      </c>
      <c r="E14" s="114" t="s">
        <v>1327</v>
      </c>
    </row>
    <row r="15" spans="1:5" ht="15.75" thickBot="1">
      <c r="A15" s="124" t="s">
        <v>1252</v>
      </c>
      <c r="B15" s="16" t="s">
        <v>11</v>
      </c>
      <c r="C15" s="16" t="s">
        <v>11</v>
      </c>
      <c r="D15" s="14" t="s">
        <v>1253</v>
      </c>
      <c r="E15" s="414">
        <v>4</v>
      </c>
    </row>
    <row r="16" spans="1:5">
      <c r="A16" s="124" t="s">
        <v>1254</v>
      </c>
      <c r="B16" s="16" t="s">
        <v>11</v>
      </c>
      <c r="C16" s="16" t="s">
        <v>11</v>
      </c>
      <c r="D16" s="14" t="s">
        <v>1253</v>
      </c>
      <c r="E16" s="105"/>
    </row>
    <row r="17" spans="1:5">
      <c r="A17" s="124" t="s">
        <v>1255</v>
      </c>
      <c r="B17" s="16" t="s">
        <v>11</v>
      </c>
      <c r="C17" s="16" t="s">
        <v>11</v>
      </c>
      <c r="D17" s="14" t="s">
        <v>1253</v>
      </c>
      <c r="E17" s="105"/>
    </row>
    <row r="18" spans="1:5">
      <c r="A18" s="124" t="s">
        <v>1256</v>
      </c>
      <c r="B18" s="16" t="s">
        <v>11</v>
      </c>
      <c r="C18" s="16" t="s">
        <v>11</v>
      </c>
      <c r="D18" s="14" t="s">
        <v>1253</v>
      </c>
      <c r="E18" s="105"/>
    </row>
    <row r="19" spans="1:5">
      <c r="A19" s="124" t="s">
        <v>1257</v>
      </c>
      <c r="B19" s="16" t="s">
        <v>11</v>
      </c>
      <c r="C19" s="16" t="s">
        <v>11</v>
      </c>
      <c r="D19" s="14" t="s">
        <v>1253</v>
      </c>
      <c r="E19" s="105"/>
    </row>
    <row r="20" spans="1:5">
      <c r="A20" s="124" t="s">
        <v>1258</v>
      </c>
      <c r="B20" s="16" t="s">
        <v>11</v>
      </c>
      <c r="C20" s="16" t="s">
        <v>11</v>
      </c>
      <c r="D20" s="14" t="s">
        <v>1253</v>
      </c>
      <c r="E20" s="105"/>
    </row>
    <row r="21" spans="1:5">
      <c r="A21" s="124" t="s">
        <v>1259</v>
      </c>
      <c r="B21" s="16" t="s">
        <v>11</v>
      </c>
      <c r="C21" s="16" t="s">
        <v>11</v>
      </c>
      <c r="D21" s="14" t="s">
        <v>1253</v>
      </c>
      <c r="E21" s="105"/>
    </row>
    <row r="22" spans="1:5">
      <c r="A22" s="124" t="s">
        <v>1260</v>
      </c>
      <c r="B22" s="16" t="s">
        <v>11</v>
      </c>
      <c r="C22" s="16" t="s">
        <v>11</v>
      </c>
      <c r="D22" s="14" t="s">
        <v>1253</v>
      </c>
      <c r="E22" s="105"/>
    </row>
    <row r="23" spans="1:5">
      <c r="A23" s="124" t="s">
        <v>1261</v>
      </c>
      <c r="B23" s="16"/>
      <c r="C23" s="16"/>
      <c r="D23" s="14"/>
      <c r="E23" s="105"/>
    </row>
    <row r="24" spans="1:5">
      <c r="A24" s="124" t="s">
        <v>1262</v>
      </c>
      <c r="B24" s="16"/>
      <c r="C24" s="16"/>
      <c r="D24" s="14"/>
      <c r="E24" s="105"/>
    </row>
    <row r="25" spans="1:5">
      <c r="A25" s="124" t="s">
        <v>1263</v>
      </c>
      <c r="B25" s="16"/>
      <c r="C25" s="16"/>
      <c r="D25" s="14"/>
      <c r="E25" s="105"/>
    </row>
    <row r="26" spans="1:5">
      <c r="A26" s="124" t="s">
        <v>1264</v>
      </c>
      <c r="B26" s="16"/>
      <c r="C26" s="16"/>
      <c r="D26" s="14"/>
      <c r="E26" s="105"/>
    </row>
    <row r="27" spans="1:5">
      <c r="A27" s="124" t="s">
        <v>1265</v>
      </c>
      <c r="B27" s="16"/>
      <c r="C27" s="16"/>
      <c r="D27" s="14"/>
      <c r="E27" s="105"/>
    </row>
    <row r="28" spans="1:5">
      <c r="A28" s="124" t="s">
        <v>1266</v>
      </c>
      <c r="B28" s="16"/>
      <c r="C28" s="16"/>
      <c r="D28" s="14"/>
      <c r="E28" s="105"/>
    </row>
    <row r="29" spans="1:5">
      <c r="A29" s="124" t="s">
        <v>1267</v>
      </c>
      <c r="B29" s="16"/>
      <c r="C29" s="16"/>
      <c r="D29" s="14"/>
      <c r="E29" s="105"/>
    </row>
    <row r="30" spans="1:5">
      <c r="A30" s="124" t="s">
        <v>1268</v>
      </c>
      <c r="B30" s="16"/>
      <c r="C30" s="16"/>
      <c r="D30" s="14"/>
      <c r="E30" s="105"/>
    </row>
    <row r="31" spans="1:5">
      <c r="A31" s="124" t="s">
        <v>1269</v>
      </c>
      <c r="B31" s="16"/>
      <c r="C31" s="16"/>
      <c r="D31" s="14"/>
      <c r="E31" s="105"/>
    </row>
    <row r="32" spans="1:5">
      <c r="A32" s="124" t="s">
        <v>1270</v>
      </c>
      <c r="B32" s="16"/>
      <c r="C32" s="16"/>
      <c r="D32" s="14"/>
      <c r="E32" s="105"/>
    </row>
    <row r="33" spans="1:5">
      <c r="A33" s="124" t="s">
        <v>1271</v>
      </c>
      <c r="B33" s="16"/>
      <c r="C33" s="16"/>
      <c r="D33" s="14"/>
      <c r="E33" s="105"/>
    </row>
    <row r="34" spans="1:5">
      <c r="A34" s="124" t="s">
        <v>1272</v>
      </c>
      <c r="B34" s="16"/>
      <c r="C34" s="16"/>
      <c r="D34" s="14"/>
      <c r="E34" s="105"/>
    </row>
    <row r="35" spans="1:5">
      <c r="A35" s="124" t="s">
        <v>1273</v>
      </c>
      <c r="B35" s="16"/>
      <c r="C35" s="16"/>
      <c r="D35" s="14"/>
      <c r="E35" s="105"/>
    </row>
    <row r="36" spans="1:5">
      <c r="A36" s="124" t="s">
        <v>1274</v>
      </c>
      <c r="B36" s="16"/>
      <c r="C36" s="16"/>
      <c r="D36" s="14"/>
      <c r="E36" s="105"/>
    </row>
    <row r="37" spans="1:5">
      <c r="A37" s="124" t="s">
        <v>1275</v>
      </c>
      <c r="B37" s="16"/>
      <c r="C37" s="16"/>
      <c r="D37" s="14"/>
      <c r="E37" s="105"/>
    </row>
    <row r="38" spans="1:5">
      <c r="A38" s="124" t="s">
        <v>1276</v>
      </c>
      <c r="B38" s="16"/>
      <c r="C38" s="16"/>
      <c r="D38" s="14"/>
      <c r="E38" s="105"/>
    </row>
    <row r="39" spans="1:5">
      <c r="A39" s="124" t="s">
        <v>1277</v>
      </c>
      <c r="B39" s="16"/>
      <c r="C39" s="16"/>
      <c r="D39" s="14"/>
      <c r="E39" s="105"/>
    </row>
    <row r="40" spans="1:5">
      <c r="A40" s="124" t="s">
        <v>1278</v>
      </c>
      <c r="B40" s="16"/>
      <c r="C40" s="16"/>
      <c r="D40" s="14"/>
      <c r="E40" s="105"/>
    </row>
    <row r="41" spans="1:5">
      <c r="A41" s="124" t="s">
        <v>1279</v>
      </c>
      <c r="B41" s="16"/>
      <c r="C41" s="16"/>
      <c r="D41" s="14"/>
      <c r="E41" s="105"/>
    </row>
    <row r="42" spans="1:5">
      <c r="A42" s="124" t="s">
        <v>1280</v>
      </c>
      <c r="B42" s="16"/>
      <c r="C42" s="16"/>
      <c r="D42" s="14"/>
      <c r="E42" s="105"/>
    </row>
    <row r="43" spans="1:5">
      <c r="A43" s="124" t="s">
        <v>1281</v>
      </c>
      <c r="B43" s="16"/>
      <c r="C43" s="16"/>
      <c r="D43" s="14"/>
      <c r="E43" s="105"/>
    </row>
    <row r="44" spans="1:5">
      <c r="A44" s="124" t="s">
        <v>1282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XDRYxf1AKRIyeef+BMk7zCcpn5jsaF9vmE+Kps+B4QQwWFBtY0C0FfHmQ297npdpiJGsXfPvQVxT3Zly8f12XA==" saltValue="zTZbFvCbeAg3Pat0KJ/7BQ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1283</v>
      </c>
    </row>
    <row r="3" spans="1:19">
      <c r="A3" s="16" t="s">
        <v>1483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1" t="s">
        <v>1633</v>
      </c>
      <c r="E6" s="422"/>
      <c r="F6" s="421" t="s">
        <v>1634</v>
      </c>
      <c r="G6" s="422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1328</v>
      </c>
      <c r="E7" s="117" t="s">
        <v>1426</v>
      </c>
      <c r="F7" s="2" t="s">
        <v>1427</v>
      </c>
      <c r="G7" s="117" t="s">
        <v>1329</v>
      </c>
      <c r="H7" s="3" t="s">
        <v>1568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1390</v>
      </c>
      <c r="E8" s="16" t="s">
        <v>1391</v>
      </c>
      <c r="F8" s="16" t="s">
        <v>1390</v>
      </c>
      <c r="G8" s="16" t="s">
        <v>1391</v>
      </c>
      <c r="H8" s="89" t="s">
        <v>1284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1390</v>
      </c>
      <c r="E9" s="16" t="s">
        <v>1391</v>
      </c>
      <c r="F9" s="16" t="s">
        <v>1390</v>
      </c>
      <c r="G9" s="16" t="s">
        <v>1391</v>
      </c>
      <c r="H9" s="89" t="s">
        <v>1285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89" t="s">
        <v>1286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89" t="s">
        <v>1287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89" t="s">
        <v>1288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89" t="s">
        <v>1289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89" t="s">
        <v>1290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89" t="s">
        <v>1291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89" t="s">
        <v>1292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89" t="s">
        <v>1293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89" t="s">
        <v>1294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89" t="s">
        <v>1295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89" t="s">
        <v>1296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89" t="s">
        <v>1297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89" t="s">
        <v>1298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89" t="s">
        <v>1299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89" t="s">
        <v>1300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89" t="s">
        <v>1301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89" t="s">
        <v>1302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LTE_BandNone</v>
      </c>
      <c r="C27" s="16" t="s">
        <v>606</v>
      </c>
      <c r="D27" s="16"/>
      <c r="E27" s="16"/>
      <c r="F27" s="16"/>
      <c r="G27" s="16"/>
      <c r="H27" s="89" t="s">
        <v>1303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1304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1305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1306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1307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1308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1" t="s">
        <v>1633</v>
      </c>
      <c r="E36" s="422"/>
      <c r="F36" s="421" t="s">
        <v>1634</v>
      </c>
      <c r="G36" s="422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1309</v>
      </c>
      <c r="B37" s="2" t="s">
        <v>466</v>
      </c>
      <c r="C37" s="2" t="s">
        <v>916</v>
      </c>
      <c r="D37" s="2" t="s">
        <v>1328</v>
      </c>
      <c r="E37" s="117" t="s">
        <v>1426</v>
      </c>
      <c r="F37" s="2" t="s">
        <v>1427</v>
      </c>
      <c r="G37" s="117" t="s">
        <v>1329</v>
      </c>
      <c r="H37" s="3" t="s">
        <v>1568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1312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1313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1314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1315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1316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1317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1318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1319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1322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1323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1324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736</v>
      </c>
      <c r="F57" s="421" t="s">
        <v>1633</v>
      </c>
      <c r="G57" s="422"/>
      <c r="H57" s="421" t="s">
        <v>1634</v>
      </c>
      <c r="I57" s="422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747</v>
      </c>
      <c r="B58" s="120" t="s">
        <v>1468</v>
      </c>
      <c r="C58" s="120" t="s">
        <v>1532</v>
      </c>
      <c r="D58" s="96" t="s">
        <v>859</v>
      </c>
      <c r="E58" s="96" t="s">
        <v>177</v>
      </c>
      <c r="F58" s="96" t="s">
        <v>1470</v>
      </c>
      <c r="G58" s="99" t="s">
        <v>1471</v>
      </c>
      <c r="H58" s="96" t="s">
        <v>1472</v>
      </c>
      <c r="I58" s="99" t="s">
        <v>1473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0" t="s">
        <v>748</v>
      </c>
      <c r="B59" s="419"/>
      <c r="C59" s="419"/>
      <c r="D59" s="128" t="s">
        <v>855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0"/>
      <c r="B60" s="419"/>
      <c r="C60" s="419"/>
      <c r="D60" s="128" t="s">
        <v>856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0"/>
      <c r="B61" s="419"/>
      <c r="C61" s="419"/>
      <c r="D61" s="128" t="s">
        <v>857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0"/>
      <c r="B62" s="419"/>
      <c r="C62" s="419"/>
      <c r="D62" s="128" t="s">
        <v>858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0" t="s">
        <v>738</v>
      </c>
      <c r="B63" s="419"/>
      <c r="C63" s="419"/>
      <c r="D63" s="128" t="s">
        <v>855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0"/>
      <c r="B64" s="419"/>
      <c r="C64" s="419"/>
      <c r="D64" s="128" t="s">
        <v>856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0"/>
      <c r="B65" s="419"/>
      <c r="C65" s="419"/>
      <c r="D65" s="128" t="s">
        <v>857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0"/>
      <c r="B66" s="419"/>
      <c r="C66" s="419"/>
      <c r="D66" s="128" t="s">
        <v>858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0" t="s">
        <v>739</v>
      </c>
      <c r="B67" s="419"/>
      <c r="C67" s="419"/>
      <c r="D67" s="128" t="s">
        <v>855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0"/>
      <c r="B68" s="419"/>
      <c r="C68" s="419"/>
      <c r="D68" s="128" t="s">
        <v>856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0"/>
      <c r="B69" s="419"/>
      <c r="C69" s="419"/>
      <c r="D69" s="128" t="s">
        <v>857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0"/>
      <c r="B70" s="419"/>
      <c r="C70" s="419"/>
      <c r="D70" s="128" t="s">
        <v>858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0" t="s">
        <v>740</v>
      </c>
      <c r="B71" s="419"/>
      <c r="C71" s="419"/>
      <c r="D71" s="128" t="s">
        <v>855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0"/>
      <c r="B72" s="419"/>
      <c r="C72" s="419"/>
      <c r="D72" s="128" t="s">
        <v>856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0"/>
      <c r="B73" s="419"/>
      <c r="C73" s="419"/>
      <c r="D73" s="128" t="s">
        <v>857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0"/>
      <c r="B74" s="419"/>
      <c r="C74" s="419"/>
      <c r="D74" s="128" t="s">
        <v>858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0" t="s">
        <v>741</v>
      </c>
      <c r="B75" s="419"/>
      <c r="C75" s="419"/>
      <c r="D75" s="128" t="s">
        <v>855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0"/>
      <c r="B76" s="419"/>
      <c r="C76" s="419"/>
      <c r="D76" s="128" t="s">
        <v>856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0"/>
      <c r="B77" s="419"/>
      <c r="C77" s="419"/>
      <c r="D77" s="128" t="s">
        <v>857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0"/>
      <c r="B78" s="419"/>
      <c r="C78" s="419"/>
      <c r="D78" s="128" t="s">
        <v>858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0" t="s">
        <v>742</v>
      </c>
      <c r="B79" s="419"/>
      <c r="C79" s="419"/>
      <c r="D79" s="128" t="s">
        <v>855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0"/>
      <c r="B80" s="419"/>
      <c r="C80" s="419"/>
      <c r="D80" s="128" t="s">
        <v>856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0"/>
      <c r="B81" s="419"/>
      <c r="C81" s="419"/>
      <c r="D81" s="128" t="s">
        <v>857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0"/>
      <c r="B82" s="419"/>
      <c r="C82" s="419"/>
      <c r="D82" s="128" t="s">
        <v>858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0" t="s">
        <v>743</v>
      </c>
      <c r="B83" s="419"/>
      <c r="C83" s="419"/>
      <c r="D83" s="128" t="s">
        <v>855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0"/>
      <c r="B84" s="419"/>
      <c r="C84" s="419"/>
      <c r="D84" s="128" t="s">
        <v>856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0"/>
      <c r="B85" s="419"/>
      <c r="C85" s="419"/>
      <c r="D85" s="128" t="s">
        <v>857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0"/>
      <c r="B86" s="419"/>
      <c r="C86" s="419"/>
      <c r="D86" s="128" t="s">
        <v>858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0" t="s">
        <v>744</v>
      </c>
      <c r="B87" s="419"/>
      <c r="C87" s="419"/>
      <c r="D87" s="128" t="s">
        <v>855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0"/>
      <c r="B88" s="419"/>
      <c r="C88" s="419"/>
      <c r="D88" s="128" t="s">
        <v>856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0"/>
      <c r="B89" s="419"/>
      <c r="C89" s="419"/>
      <c r="D89" s="128" t="s">
        <v>857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0"/>
      <c r="B90" s="419"/>
      <c r="C90" s="419"/>
      <c r="D90" s="128" t="s">
        <v>858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0" t="s">
        <v>745</v>
      </c>
      <c r="B91" s="419"/>
      <c r="C91" s="419"/>
      <c r="D91" s="128" t="s">
        <v>855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0"/>
      <c r="B92" s="419"/>
      <c r="C92" s="419"/>
      <c r="D92" s="128" t="s">
        <v>856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0"/>
      <c r="B93" s="419"/>
      <c r="C93" s="419"/>
      <c r="D93" s="128" t="s">
        <v>857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0"/>
      <c r="B94" s="419"/>
      <c r="C94" s="419"/>
      <c r="D94" s="128" t="s">
        <v>858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0" t="s">
        <v>746</v>
      </c>
      <c r="B95" s="419"/>
      <c r="C95" s="419"/>
      <c r="D95" s="128" t="s">
        <v>855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0"/>
      <c r="B96" s="419"/>
      <c r="C96" s="419"/>
      <c r="D96" s="128" t="s">
        <v>856</v>
      </c>
      <c r="E96" s="153"/>
      <c r="F96" s="153"/>
      <c r="G96" s="153"/>
      <c r="H96" s="153"/>
      <c r="I96" s="153"/>
      <c r="J96" s="153"/>
    </row>
    <row r="97" spans="1:10">
      <c r="A97" s="420"/>
      <c r="B97" s="419"/>
      <c r="C97" s="419"/>
      <c r="D97" s="128" t="s">
        <v>857</v>
      </c>
      <c r="E97" s="153"/>
      <c r="F97" s="153"/>
      <c r="G97" s="153"/>
      <c r="H97" s="153"/>
      <c r="I97" s="153"/>
      <c r="J97" s="153"/>
    </row>
    <row r="98" spans="1:10">
      <c r="A98" s="420"/>
      <c r="B98" s="419"/>
      <c r="C98" s="419"/>
      <c r="D98" s="128" t="s">
        <v>858</v>
      </c>
      <c r="E98" s="153"/>
      <c r="F98" s="153"/>
      <c r="G98" s="153"/>
      <c r="H98" s="153"/>
      <c r="I98" s="153"/>
      <c r="J98" s="153"/>
    </row>
    <row r="99" spans="1:10">
      <c r="A99" s="1" t="s">
        <v>749</v>
      </c>
    </row>
  </sheetData>
  <sheetProtection algorithmName="SHA-512" hashValue="yMaBoA7NFZatPRauyiEH+s9Likep+sa7N8/T0nbbhdGwADrdBWuwzJJ7ojfVOY3Gv/Jsdq+NFauFt4/pCjZDQw==" saltValue="7MJ1puG9cH4/JTFBGCmGww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1484</v>
      </c>
    </row>
    <row r="5" spans="1:20">
      <c r="A5" s="14" t="s">
        <v>1486</v>
      </c>
    </row>
    <row r="7" spans="1:20" ht="15.75" thickBot="1"/>
    <row r="8" spans="1:20" ht="15.75" thickBot="1">
      <c r="A8" s="6" t="s">
        <v>20</v>
      </c>
      <c r="D8" s="421" t="s">
        <v>1629</v>
      </c>
      <c r="E8" s="422"/>
      <c r="F8" s="421" t="s">
        <v>1630</v>
      </c>
      <c r="G8" s="422"/>
      <c r="H8" s="421" t="s">
        <v>1631</v>
      </c>
      <c r="I8" s="423"/>
      <c r="J8" s="421" t="s">
        <v>1632</v>
      </c>
      <c r="K8" s="422"/>
      <c r="L8" s="421" t="s">
        <v>1635</v>
      </c>
      <c r="M8" s="422"/>
      <c r="N8" s="421" t="s">
        <v>1636</v>
      </c>
      <c r="O8" s="422"/>
      <c r="P8" s="421" t="s">
        <v>1637</v>
      </c>
      <c r="Q8" s="423"/>
      <c r="R8" s="421" t="s">
        <v>1638</v>
      </c>
      <c r="S8" s="422"/>
    </row>
    <row r="9" spans="1:20">
      <c r="A9" s="9" t="s">
        <v>81</v>
      </c>
      <c r="B9" s="2" t="s">
        <v>466</v>
      </c>
      <c r="C9" s="2" t="s">
        <v>916</v>
      </c>
      <c r="D9" s="2" t="s">
        <v>1331</v>
      </c>
      <c r="E9" s="117" t="s">
        <v>1332</v>
      </c>
      <c r="F9" s="2" t="s">
        <v>1333</v>
      </c>
      <c r="G9" s="117" t="s">
        <v>1334</v>
      </c>
      <c r="H9" s="2" t="s">
        <v>1335</v>
      </c>
      <c r="I9" s="117" t="s">
        <v>1336</v>
      </c>
      <c r="J9" s="2" t="s">
        <v>1337</v>
      </c>
      <c r="K9" s="117" t="s">
        <v>1338</v>
      </c>
      <c r="L9" s="2" t="s">
        <v>1339</v>
      </c>
      <c r="M9" s="117" t="s">
        <v>1340</v>
      </c>
      <c r="N9" s="2" t="s">
        <v>1341</v>
      </c>
      <c r="O9" s="117" t="s">
        <v>1342</v>
      </c>
      <c r="P9" s="2" t="s">
        <v>1343</v>
      </c>
      <c r="Q9" s="117" t="s">
        <v>1344</v>
      </c>
      <c r="R9" s="2" t="s">
        <v>1345</v>
      </c>
      <c r="S9" s="117" t="s">
        <v>1346</v>
      </c>
      <c r="T9" s="3" t="s">
        <v>1347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16" t="s">
        <v>1390</v>
      </c>
      <c r="I10" s="16" t="s">
        <v>1391</v>
      </c>
      <c r="J10" s="16" t="s">
        <v>1390</v>
      </c>
      <c r="K10" s="16" t="s">
        <v>1391</v>
      </c>
      <c r="L10" s="16" t="s">
        <v>1390</v>
      </c>
      <c r="M10" s="16" t="s">
        <v>1391</v>
      </c>
      <c r="N10" s="16" t="s">
        <v>1390</v>
      </c>
      <c r="O10" s="16" t="s">
        <v>1391</v>
      </c>
      <c r="P10" s="16" t="s">
        <v>1390</v>
      </c>
      <c r="Q10" s="16" t="s">
        <v>1391</v>
      </c>
      <c r="R10" s="16" t="s">
        <v>1390</v>
      </c>
      <c r="S10" s="16" t="s">
        <v>1391</v>
      </c>
      <c r="T10" s="89" t="s">
        <v>1428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16" t="s">
        <v>1390</v>
      </c>
      <c r="I11" s="16" t="s">
        <v>1391</v>
      </c>
      <c r="J11" s="16" t="s">
        <v>1390</v>
      </c>
      <c r="K11" s="16" t="s">
        <v>1391</v>
      </c>
      <c r="L11" s="16" t="s">
        <v>1390</v>
      </c>
      <c r="M11" s="16" t="s">
        <v>1391</v>
      </c>
      <c r="N11" s="16" t="s">
        <v>1390</v>
      </c>
      <c r="O11" s="16" t="s">
        <v>1391</v>
      </c>
      <c r="P11" s="16" t="s">
        <v>1390</v>
      </c>
      <c r="Q11" s="16" t="s">
        <v>1391</v>
      </c>
      <c r="R11" s="16" t="s">
        <v>1390</v>
      </c>
      <c r="S11" s="16" t="s">
        <v>1391</v>
      </c>
      <c r="T11" s="89" t="s">
        <v>1429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16" t="s">
        <v>1390</v>
      </c>
      <c r="I12" s="16" t="s">
        <v>1391</v>
      </c>
      <c r="J12" s="16" t="s">
        <v>1390</v>
      </c>
      <c r="K12" s="16" t="s">
        <v>1391</v>
      </c>
      <c r="L12" s="16" t="s">
        <v>1390</v>
      </c>
      <c r="M12" s="16" t="s">
        <v>1391</v>
      </c>
      <c r="N12" s="16" t="s">
        <v>1390</v>
      </c>
      <c r="O12" s="16" t="s">
        <v>1391</v>
      </c>
      <c r="P12" s="16" t="s">
        <v>1390</v>
      </c>
      <c r="Q12" s="16" t="s">
        <v>1391</v>
      </c>
      <c r="R12" s="16" t="s">
        <v>1390</v>
      </c>
      <c r="S12" s="16" t="s">
        <v>1391</v>
      </c>
      <c r="T12" s="89" t="s">
        <v>1430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16" t="s">
        <v>1390</v>
      </c>
      <c r="I13" s="16" t="s">
        <v>1391</v>
      </c>
      <c r="J13" s="16" t="s">
        <v>1390</v>
      </c>
      <c r="K13" s="16" t="s">
        <v>1391</v>
      </c>
      <c r="L13" s="16" t="s">
        <v>1390</v>
      </c>
      <c r="M13" s="16" t="s">
        <v>1391</v>
      </c>
      <c r="N13" s="16" t="s">
        <v>1390</v>
      </c>
      <c r="O13" s="16" t="s">
        <v>1391</v>
      </c>
      <c r="P13" s="16" t="s">
        <v>1390</v>
      </c>
      <c r="Q13" s="16" t="s">
        <v>1391</v>
      </c>
      <c r="R13" s="16" t="s">
        <v>1390</v>
      </c>
      <c r="S13" s="16" t="s">
        <v>1391</v>
      </c>
      <c r="T13" s="89" t="s">
        <v>1431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16" t="s">
        <v>1390</v>
      </c>
      <c r="I14" s="16" t="s">
        <v>1391</v>
      </c>
      <c r="J14" s="16" t="s">
        <v>1390</v>
      </c>
      <c r="K14" s="16" t="s">
        <v>1391</v>
      </c>
      <c r="L14" s="16" t="s">
        <v>1390</v>
      </c>
      <c r="M14" s="16" t="s">
        <v>1391</v>
      </c>
      <c r="N14" s="16" t="s">
        <v>1390</v>
      </c>
      <c r="O14" s="16" t="s">
        <v>1391</v>
      </c>
      <c r="P14" s="16" t="s">
        <v>1390</v>
      </c>
      <c r="Q14" s="16" t="s">
        <v>1391</v>
      </c>
      <c r="R14" s="16" t="s">
        <v>1390</v>
      </c>
      <c r="S14" s="16" t="s">
        <v>1391</v>
      </c>
      <c r="T14" s="89" t="s">
        <v>1432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16" t="s">
        <v>1390</v>
      </c>
      <c r="I15" s="16" t="s">
        <v>1391</v>
      </c>
      <c r="J15" s="16" t="s">
        <v>1390</v>
      </c>
      <c r="K15" s="16" t="s">
        <v>1391</v>
      </c>
      <c r="L15" s="16" t="s">
        <v>1390</v>
      </c>
      <c r="M15" s="16" t="s">
        <v>1391</v>
      </c>
      <c r="N15" s="16" t="s">
        <v>1390</v>
      </c>
      <c r="O15" s="16" t="s">
        <v>1391</v>
      </c>
      <c r="P15" s="16" t="s">
        <v>1390</v>
      </c>
      <c r="Q15" s="16" t="s">
        <v>1391</v>
      </c>
      <c r="R15" s="16" t="s">
        <v>1390</v>
      </c>
      <c r="S15" s="16" t="s">
        <v>1391</v>
      </c>
      <c r="T15" s="89" t="s">
        <v>1433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16" t="s">
        <v>1390</v>
      </c>
      <c r="I16" s="16" t="s">
        <v>1391</v>
      </c>
      <c r="J16" s="16" t="s">
        <v>1390</v>
      </c>
      <c r="K16" s="16" t="s">
        <v>1391</v>
      </c>
      <c r="L16" s="16" t="s">
        <v>1390</v>
      </c>
      <c r="M16" s="16" t="s">
        <v>1391</v>
      </c>
      <c r="N16" s="16" t="s">
        <v>1390</v>
      </c>
      <c r="O16" s="16" t="s">
        <v>1391</v>
      </c>
      <c r="P16" s="16" t="s">
        <v>1390</v>
      </c>
      <c r="Q16" s="16" t="s">
        <v>1391</v>
      </c>
      <c r="R16" s="16" t="s">
        <v>1390</v>
      </c>
      <c r="S16" s="16" t="s">
        <v>1391</v>
      </c>
      <c r="T16" s="89" t="s">
        <v>1434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16" t="s">
        <v>1390</v>
      </c>
      <c r="I17" s="16" t="s">
        <v>1391</v>
      </c>
      <c r="J17" s="16" t="s">
        <v>1390</v>
      </c>
      <c r="K17" s="16" t="s">
        <v>1391</v>
      </c>
      <c r="L17" s="16" t="s">
        <v>1390</v>
      </c>
      <c r="M17" s="16" t="s">
        <v>1391</v>
      </c>
      <c r="N17" s="16" t="s">
        <v>1390</v>
      </c>
      <c r="O17" s="16" t="s">
        <v>1391</v>
      </c>
      <c r="P17" s="16" t="s">
        <v>1390</v>
      </c>
      <c r="Q17" s="16" t="s">
        <v>1391</v>
      </c>
      <c r="R17" s="16" t="s">
        <v>1390</v>
      </c>
      <c r="S17" s="16" t="s">
        <v>1391</v>
      </c>
      <c r="T17" s="89" t="s">
        <v>1435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16" t="s">
        <v>1390</v>
      </c>
      <c r="I18" s="16" t="s">
        <v>1391</v>
      </c>
      <c r="J18" s="16" t="s">
        <v>1390</v>
      </c>
      <c r="K18" s="16" t="s">
        <v>1391</v>
      </c>
      <c r="L18" s="16" t="s">
        <v>1390</v>
      </c>
      <c r="M18" s="16" t="s">
        <v>1391</v>
      </c>
      <c r="N18" s="16" t="s">
        <v>1390</v>
      </c>
      <c r="O18" s="16" t="s">
        <v>1391</v>
      </c>
      <c r="P18" s="16" t="s">
        <v>1390</v>
      </c>
      <c r="Q18" s="16" t="s">
        <v>1391</v>
      </c>
      <c r="R18" s="16" t="s">
        <v>1390</v>
      </c>
      <c r="S18" s="16" t="s">
        <v>1391</v>
      </c>
      <c r="T18" s="89" t="s">
        <v>1436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16" t="s">
        <v>1390</v>
      </c>
      <c r="I19" s="16" t="s">
        <v>1391</v>
      </c>
      <c r="J19" s="16" t="s">
        <v>1390</v>
      </c>
      <c r="K19" s="16" t="s">
        <v>1391</v>
      </c>
      <c r="L19" s="16" t="s">
        <v>1390</v>
      </c>
      <c r="M19" s="16" t="s">
        <v>1391</v>
      </c>
      <c r="N19" s="16" t="s">
        <v>1390</v>
      </c>
      <c r="O19" s="16" t="s">
        <v>1391</v>
      </c>
      <c r="P19" s="16" t="s">
        <v>1390</v>
      </c>
      <c r="Q19" s="16" t="s">
        <v>1391</v>
      </c>
      <c r="R19" s="16" t="s">
        <v>1390</v>
      </c>
      <c r="S19" s="16" t="s">
        <v>1391</v>
      </c>
      <c r="T19" s="89" t="s">
        <v>1437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16" t="s">
        <v>1390</v>
      </c>
      <c r="I20" s="16" t="s">
        <v>1391</v>
      </c>
      <c r="J20" s="16" t="s">
        <v>1390</v>
      </c>
      <c r="K20" s="16" t="s">
        <v>1391</v>
      </c>
      <c r="L20" s="16" t="s">
        <v>1390</v>
      </c>
      <c r="M20" s="16" t="s">
        <v>1391</v>
      </c>
      <c r="N20" s="16" t="s">
        <v>1390</v>
      </c>
      <c r="O20" s="16" t="s">
        <v>1391</v>
      </c>
      <c r="P20" s="16" t="s">
        <v>1390</v>
      </c>
      <c r="Q20" s="16" t="s">
        <v>1391</v>
      </c>
      <c r="R20" s="16" t="s">
        <v>1390</v>
      </c>
      <c r="S20" s="16" t="s">
        <v>1391</v>
      </c>
      <c r="T20" s="89" t="s">
        <v>1438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16" t="s">
        <v>1390</v>
      </c>
      <c r="I21" s="16" t="s">
        <v>1391</v>
      </c>
      <c r="J21" s="16" t="s">
        <v>1390</v>
      </c>
      <c r="K21" s="16" t="s">
        <v>1391</v>
      </c>
      <c r="L21" s="16" t="s">
        <v>1390</v>
      </c>
      <c r="M21" s="16" t="s">
        <v>1391</v>
      </c>
      <c r="N21" s="16" t="s">
        <v>1390</v>
      </c>
      <c r="O21" s="16" t="s">
        <v>1391</v>
      </c>
      <c r="P21" s="16" t="s">
        <v>1390</v>
      </c>
      <c r="Q21" s="16" t="s">
        <v>1391</v>
      </c>
      <c r="R21" s="16" t="s">
        <v>1390</v>
      </c>
      <c r="S21" s="16" t="s">
        <v>1391</v>
      </c>
      <c r="T21" s="89" t="s">
        <v>1439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16" t="s">
        <v>1390</v>
      </c>
      <c r="I22" s="16" t="s">
        <v>1391</v>
      </c>
      <c r="J22" s="16" t="s">
        <v>1390</v>
      </c>
      <c r="K22" s="16" t="s">
        <v>1391</v>
      </c>
      <c r="L22" s="16" t="s">
        <v>1390</v>
      </c>
      <c r="M22" s="16" t="s">
        <v>1391</v>
      </c>
      <c r="N22" s="16" t="s">
        <v>1390</v>
      </c>
      <c r="O22" s="16" t="s">
        <v>1391</v>
      </c>
      <c r="P22" s="16" t="s">
        <v>1390</v>
      </c>
      <c r="Q22" s="16" t="s">
        <v>1391</v>
      </c>
      <c r="R22" s="16" t="s">
        <v>1390</v>
      </c>
      <c r="S22" s="16" t="s">
        <v>1391</v>
      </c>
      <c r="T22" s="89" t="s">
        <v>1440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16" t="s">
        <v>1390</v>
      </c>
      <c r="I23" s="16" t="s">
        <v>1391</v>
      </c>
      <c r="J23" s="16" t="s">
        <v>1390</v>
      </c>
      <c r="K23" s="16" t="s">
        <v>1391</v>
      </c>
      <c r="L23" s="16" t="s">
        <v>1390</v>
      </c>
      <c r="M23" s="16" t="s">
        <v>1391</v>
      </c>
      <c r="N23" s="16" t="s">
        <v>1390</v>
      </c>
      <c r="O23" s="16" t="s">
        <v>1391</v>
      </c>
      <c r="P23" s="16" t="s">
        <v>1390</v>
      </c>
      <c r="Q23" s="16" t="s">
        <v>1391</v>
      </c>
      <c r="R23" s="16" t="s">
        <v>1390</v>
      </c>
      <c r="S23" s="16" t="s">
        <v>1391</v>
      </c>
      <c r="T23" s="89" t="s">
        <v>1441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16" t="s">
        <v>1390</v>
      </c>
      <c r="I24" s="16" t="s">
        <v>1391</v>
      </c>
      <c r="J24" s="16" t="s">
        <v>1390</v>
      </c>
      <c r="K24" s="16" t="s">
        <v>1391</v>
      </c>
      <c r="L24" s="16" t="s">
        <v>1390</v>
      </c>
      <c r="M24" s="16" t="s">
        <v>1391</v>
      </c>
      <c r="N24" s="16" t="s">
        <v>1390</v>
      </c>
      <c r="O24" s="16" t="s">
        <v>1391</v>
      </c>
      <c r="P24" s="16" t="s">
        <v>1390</v>
      </c>
      <c r="Q24" s="16" t="s">
        <v>1391</v>
      </c>
      <c r="R24" s="16" t="s">
        <v>1390</v>
      </c>
      <c r="S24" s="16" t="s">
        <v>1391</v>
      </c>
      <c r="T24" s="89" t="s">
        <v>1442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16" t="s">
        <v>1390</v>
      </c>
      <c r="I25" s="16" t="s">
        <v>1391</v>
      </c>
      <c r="J25" s="16" t="s">
        <v>1390</v>
      </c>
      <c r="K25" s="16" t="s">
        <v>1391</v>
      </c>
      <c r="L25" s="16" t="s">
        <v>1390</v>
      </c>
      <c r="M25" s="16" t="s">
        <v>1391</v>
      </c>
      <c r="N25" s="16" t="s">
        <v>1390</v>
      </c>
      <c r="O25" s="16" t="s">
        <v>1391</v>
      </c>
      <c r="P25" s="16" t="s">
        <v>1390</v>
      </c>
      <c r="Q25" s="16" t="s">
        <v>1391</v>
      </c>
      <c r="R25" s="16" t="s">
        <v>1390</v>
      </c>
      <c r="S25" s="16" t="s">
        <v>1391</v>
      </c>
      <c r="T25" s="89" t="s">
        <v>1443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16" t="s">
        <v>1390</v>
      </c>
      <c r="I26" s="16" t="s">
        <v>1391</v>
      </c>
      <c r="J26" s="16" t="s">
        <v>1390</v>
      </c>
      <c r="K26" s="16" t="s">
        <v>1391</v>
      </c>
      <c r="L26" s="16" t="s">
        <v>1390</v>
      </c>
      <c r="M26" s="16" t="s">
        <v>1391</v>
      </c>
      <c r="N26" s="16" t="s">
        <v>1390</v>
      </c>
      <c r="O26" s="16" t="s">
        <v>1391</v>
      </c>
      <c r="P26" s="16" t="s">
        <v>1390</v>
      </c>
      <c r="Q26" s="16" t="s">
        <v>1391</v>
      </c>
      <c r="R26" s="16" t="s">
        <v>1390</v>
      </c>
      <c r="S26" s="16" t="s">
        <v>1391</v>
      </c>
      <c r="T26" s="89" t="s">
        <v>1444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1390</v>
      </c>
      <c r="E27" s="16" t="s">
        <v>1391</v>
      </c>
      <c r="F27" s="16" t="s">
        <v>1390</v>
      </c>
      <c r="G27" s="16" t="s">
        <v>1391</v>
      </c>
      <c r="H27" s="16" t="s">
        <v>1390</v>
      </c>
      <c r="I27" s="16" t="s">
        <v>1391</v>
      </c>
      <c r="J27" s="16" t="s">
        <v>1390</v>
      </c>
      <c r="K27" s="16" t="s">
        <v>1391</v>
      </c>
      <c r="L27" s="16" t="s">
        <v>1390</v>
      </c>
      <c r="M27" s="16" t="s">
        <v>1391</v>
      </c>
      <c r="N27" s="16" t="s">
        <v>1390</v>
      </c>
      <c r="O27" s="16" t="s">
        <v>1391</v>
      </c>
      <c r="P27" s="16" t="s">
        <v>1390</v>
      </c>
      <c r="Q27" s="16" t="s">
        <v>1391</v>
      </c>
      <c r="R27" s="16" t="s">
        <v>1390</v>
      </c>
      <c r="S27" s="16" t="s">
        <v>1391</v>
      </c>
      <c r="T27" s="89" t="s">
        <v>1445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1390</v>
      </c>
      <c r="E28" s="16" t="s">
        <v>1391</v>
      </c>
      <c r="F28" s="16" t="s">
        <v>1390</v>
      </c>
      <c r="G28" s="16" t="s">
        <v>1391</v>
      </c>
      <c r="H28" s="16" t="s">
        <v>1390</v>
      </c>
      <c r="I28" s="16" t="s">
        <v>1391</v>
      </c>
      <c r="J28" s="16" t="s">
        <v>1390</v>
      </c>
      <c r="K28" s="16" t="s">
        <v>1391</v>
      </c>
      <c r="L28" s="16" t="s">
        <v>1390</v>
      </c>
      <c r="M28" s="16" t="s">
        <v>1391</v>
      </c>
      <c r="N28" s="16" t="s">
        <v>1390</v>
      </c>
      <c r="O28" s="16" t="s">
        <v>1391</v>
      </c>
      <c r="P28" s="16" t="s">
        <v>1390</v>
      </c>
      <c r="Q28" s="16" t="s">
        <v>1391</v>
      </c>
      <c r="R28" s="16" t="s">
        <v>1390</v>
      </c>
      <c r="S28" s="16" t="s">
        <v>1391</v>
      </c>
      <c r="T28" s="89" t="s">
        <v>1446</v>
      </c>
    </row>
    <row r="29" spans="1:20">
      <c r="A29" s="10" t="s">
        <v>74</v>
      </c>
      <c r="B29" s="17" t="str">
        <v>LTE_BandNone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1447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1448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1449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1450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1451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1452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1488</v>
      </c>
      <c r="D38" s="421" t="s">
        <v>1629</v>
      </c>
      <c r="E38" s="422"/>
      <c r="F38" s="421" t="s">
        <v>1630</v>
      </c>
      <c r="G38" s="422"/>
      <c r="H38" s="421" t="s">
        <v>1631</v>
      </c>
      <c r="I38" s="423"/>
      <c r="J38" s="421" t="s">
        <v>1632</v>
      </c>
      <c r="K38" s="422"/>
      <c r="L38" s="421" t="s">
        <v>1635</v>
      </c>
      <c r="M38" s="422"/>
      <c r="N38" s="421" t="s">
        <v>1636</v>
      </c>
      <c r="O38" s="422"/>
      <c r="P38" s="421" t="s">
        <v>1637</v>
      </c>
      <c r="Q38" s="423"/>
      <c r="R38" s="421" t="s">
        <v>1638</v>
      </c>
      <c r="S38" s="422"/>
    </row>
    <row r="39" spans="1:20">
      <c r="A39" s="118" t="s">
        <v>1487</v>
      </c>
      <c r="B39" s="2" t="s">
        <v>466</v>
      </c>
      <c r="C39" s="2" t="s">
        <v>916</v>
      </c>
      <c r="D39" s="2" t="s">
        <v>1331</v>
      </c>
      <c r="E39" s="117" t="s">
        <v>1332</v>
      </c>
      <c r="F39" s="2" t="s">
        <v>1333</v>
      </c>
      <c r="G39" s="117" t="s">
        <v>1334</v>
      </c>
      <c r="H39" s="2" t="s">
        <v>1335</v>
      </c>
      <c r="I39" s="117" t="s">
        <v>1336</v>
      </c>
      <c r="J39" s="2" t="s">
        <v>1337</v>
      </c>
      <c r="K39" s="117" t="s">
        <v>1338</v>
      </c>
      <c r="L39" s="2" t="s">
        <v>1339</v>
      </c>
      <c r="M39" s="117" t="s">
        <v>1340</v>
      </c>
      <c r="N39" s="2" t="s">
        <v>1341</v>
      </c>
      <c r="O39" s="117" t="s">
        <v>1342</v>
      </c>
      <c r="P39" s="2" t="s">
        <v>1343</v>
      </c>
      <c r="Q39" s="117" t="s">
        <v>1344</v>
      </c>
      <c r="R39" s="2" t="s">
        <v>1345</v>
      </c>
      <c r="S39" s="117" t="s">
        <v>1346</v>
      </c>
      <c r="T39" s="3" t="s">
        <v>1347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1453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1454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1455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1456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1457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1458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1459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1460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1461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1462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1463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1464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1465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1466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1467</v>
      </c>
    </row>
    <row r="58" spans="1:21" ht="15.75" thickBot="1"/>
    <row r="59" spans="1:21">
      <c r="A59" s="95" t="s">
        <v>736</v>
      </c>
      <c r="F59" s="421" t="s">
        <v>1629</v>
      </c>
      <c r="G59" s="422"/>
      <c r="H59" s="421" t="s">
        <v>1630</v>
      </c>
      <c r="I59" s="422"/>
      <c r="J59" s="421" t="s">
        <v>1631</v>
      </c>
      <c r="K59" s="423"/>
      <c r="L59" s="421" t="s">
        <v>1632</v>
      </c>
      <c r="M59" s="422"/>
      <c r="N59" s="421" t="s">
        <v>1635</v>
      </c>
      <c r="O59" s="422"/>
      <c r="P59" s="421" t="s">
        <v>1636</v>
      </c>
      <c r="Q59" s="422"/>
      <c r="R59" s="421" t="s">
        <v>1637</v>
      </c>
      <c r="S59" s="423"/>
      <c r="T59" s="421" t="s">
        <v>1638</v>
      </c>
      <c r="U59" s="422"/>
    </row>
    <row r="60" spans="1:21" ht="30">
      <c r="A60" s="119" t="s">
        <v>747</v>
      </c>
      <c r="B60" s="120" t="s">
        <v>1468</v>
      </c>
      <c r="C60" s="96" t="s">
        <v>1533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1474</v>
      </c>
      <c r="O60" s="99" t="s">
        <v>1475</v>
      </c>
      <c r="P60" s="96" t="s">
        <v>1476</v>
      </c>
      <c r="Q60" s="99" t="s">
        <v>1477</v>
      </c>
      <c r="R60" s="96" t="s">
        <v>1478</v>
      </c>
      <c r="S60" s="99" t="s">
        <v>1479</v>
      </c>
      <c r="T60" s="96" t="s">
        <v>1480</v>
      </c>
      <c r="U60" s="99" t="s">
        <v>1481</v>
      </c>
    </row>
    <row r="61" spans="1:21">
      <c r="A61" s="420" t="s">
        <v>748</v>
      </c>
      <c r="B61" s="419"/>
      <c r="C61" s="419"/>
      <c r="D61" s="128" t="s">
        <v>855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0"/>
      <c r="B62" s="419"/>
      <c r="C62" s="419"/>
      <c r="D62" s="128" t="s">
        <v>856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0"/>
      <c r="B63" s="419"/>
      <c r="C63" s="419"/>
      <c r="D63" s="128" t="s">
        <v>857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0"/>
      <c r="B64" s="419"/>
      <c r="C64" s="419"/>
      <c r="D64" s="128" t="s">
        <v>858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0" t="s">
        <v>738</v>
      </c>
      <c r="B65" s="419"/>
      <c r="C65" s="419"/>
      <c r="D65" s="128" t="s">
        <v>855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0"/>
      <c r="B66" s="419"/>
      <c r="C66" s="419"/>
      <c r="D66" s="128" t="s">
        <v>856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0"/>
      <c r="B67" s="419"/>
      <c r="C67" s="419"/>
      <c r="D67" s="128" t="s">
        <v>857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0"/>
      <c r="B68" s="419"/>
      <c r="C68" s="419"/>
      <c r="D68" s="128" t="s">
        <v>858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0" t="s">
        <v>739</v>
      </c>
      <c r="B69" s="419"/>
      <c r="C69" s="419"/>
      <c r="D69" s="128" t="s">
        <v>855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0"/>
      <c r="B70" s="419"/>
      <c r="C70" s="419"/>
      <c r="D70" s="128" t="s">
        <v>856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0"/>
      <c r="B71" s="419"/>
      <c r="C71" s="419"/>
      <c r="D71" s="128" t="s">
        <v>857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0"/>
      <c r="B72" s="419"/>
      <c r="C72" s="419"/>
      <c r="D72" s="128" t="s">
        <v>858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0" t="s">
        <v>740</v>
      </c>
      <c r="B73" s="419"/>
      <c r="C73" s="419"/>
      <c r="D73" s="128" t="s">
        <v>855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0"/>
      <c r="B74" s="419"/>
      <c r="C74" s="419"/>
      <c r="D74" s="128" t="s">
        <v>856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0"/>
      <c r="B75" s="419"/>
      <c r="C75" s="419"/>
      <c r="D75" s="128" t="s">
        <v>857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0"/>
      <c r="B76" s="419"/>
      <c r="C76" s="419"/>
      <c r="D76" s="128" t="s">
        <v>858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0" t="s">
        <v>741</v>
      </c>
      <c r="B77" s="419"/>
      <c r="C77" s="419"/>
      <c r="D77" s="128" t="s">
        <v>855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0"/>
      <c r="B78" s="419"/>
      <c r="C78" s="419"/>
      <c r="D78" s="128" t="s">
        <v>856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0"/>
      <c r="B79" s="419"/>
      <c r="C79" s="419"/>
      <c r="D79" s="128" t="s">
        <v>857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0"/>
      <c r="B80" s="419"/>
      <c r="C80" s="419"/>
      <c r="D80" s="128" t="s">
        <v>858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0" t="s">
        <v>742</v>
      </c>
      <c r="B81" s="419"/>
      <c r="C81" s="419"/>
      <c r="D81" s="128" t="s">
        <v>855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0"/>
      <c r="B82" s="419"/>
      <c r="C82" s="419"/>
      <c r="D82" s="128" t="s">
        <v>856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0"/>
      <c r="B83" s="419"/>
      <c r="C83" s="419"/>
      <c r="D83" s="128" t="s">
        <v>857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0"/>
      <c r="B84" s="419"/>
      <c r="C84" s="419"/>
      <c r="D84" s="128" t="s">
        <v>858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0" t="s">
        <v>743</v>
      </c>
      <c r="B85" s="419"/>
      <c r="C85" s="419"/>
      <c r="D85" s="128" t="s">
        <v>855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0"/>
      <c r="B86" s="419"/>
      <c r="C86" s="419"/>
      <c r="D86" s="128" t="s">
        <v>856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0"/>
      <c r="B87" s="419"/>
      <c r="C87" s="419"/>
      <c r="D87" s="128" t="s">
        <v>857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0"/>
      <c r="B88" s="419"/>
      <c r="C88" s="419"/>
      <c r="D88" s="128" t="s">
        <v>858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0" t="s">
        <v>744</v>
      </c>
      <c r="B89" s="419"/>
      <c r="C89" s="419"/>
      <c r="D89" s="128" t="s">
        <v>855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0"/>
      <c r="B90" s="419"/>
      <c r="C90" s="419"/>
      <c r="D90" s="128" t="s">
        <v>856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0"/>
      <c r="B91" s="419"/>
      <c r="C91" s="419"/>
      <c r="D91" s="128" t="s">
        <v>857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0"/>
      <c r="B92" s="419"/>
      <c r="C92" s="419"/>
      <c r="D92" s="128" t="s">
        <v>858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0" t="s">
        <v>745</v>
      </c>
      <c r="B93" s="419"/>
      <c r="C93" s="419"/>
      <c r="D93" s="128" t="s">
        <v>855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0"/>
      <c r="B94" s="419"/>
      <c r="C94" s="419"/>
      <c r="D94" s="128" t="s">
        <v>856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0"/>
      <c r="B95" s="419"/>
      <c r="C95" s="419"/>
      <c r="D95" s="128" t="s">
        <v>857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0"/>
      <c r="B96" s="419"/>
      <c r="C96" s="419"/>
      <c r="D96" s="128" t="s">
        <v>858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0" t="s">
        <v>746</v>
      </c>
      <c r="B97" s="419"/>
      <c r="C97" s="419"/>
      <c r="D97" s="128" t="s">
        <v>855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0"/>
      <c r="B98" s="419"/>
      <c r="C98" s="419"/>
      <c r="D98" s="128" t="s">
        <v>856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0"/>
      <c r="B99" s="419"/>
      <c r="C99" s="419"/>
      <c r="D99" s="128" t="s">
        <v>857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0"/>
      <c r="B100" s="419"/>
      <c r="C100" s="419"/>
      <c r="D100" s="128" t="s">
        <v>858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749</v>
      </c>
    </row>
  </sheetData>
  <sheetProtection algorithmName="SHA-512" hashValue="tp+Ahst3ehh83zLbWDrUggp769J0ck8cEe4qG2WmHA9V1/mEFLTjyaAE+cIYP1PDe8Cl/bMMP3oSxIqrAbjgzQ==" saltValue="1OgQZbrXcNNMDjAAso/oKA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1196</v>
      </c>
      <c r="AL3" s="26" t="s">
        <v>1348</v>
      </c>
      <c r="AM3" s="26" t="s">
        <v>1354</v>
      </c>
      <c r="AN3" s="26" t="s">
        <v>1386</v>
      </c>
      <c r="AO3" s="26" t="s">
        <v>1387</v>
      </c>
      <c r="AP3" s="26" t="s">
        <v>1388</v>
      </c>
      <c r="AQ3" s="26" t="s">
        <v>1389</v>
      </c>
      <c r="AR3" s="26" t="s">
        <v>1469</v>
      </c>
      <c r="AS3" s="26" t="s">
        <v>1482</v>
      </c>
      <c r="AT3" s="26" t="s">
        <v>1485</v>
      </c>
      <c r="AU3" s="26" t="s">
        <v>1551</v>
      </c>
      <c r="AV3" s="26" t="s">
        <v>1567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1019</v>
      </c>
      <c r="R4" s="133" t="s">
        <v>1019</v>
      </c>
      <c r="S4" s="133" t="s">
        <v>472</v>
      </c>
      <c r="T4" s="131" t="s">
        <v>362</v>
      </c>
      <c r="U4" s="131" t="s">
        <v>564</v>
      </c>
      <c r="V4" s="131" t="s">
        <v>606</v>
      </c>
      <c r="W4" s="135" t="s">
        <v>663</v>
      </c>
      <c r="X4" s="131" t="s">
        <v>886</v>
      </c>
      <c r="Y4" s="131" t="s">
        <v>887</v>
      </c>
      <c r="Z4" s="135" t="s">
        <v>789</v>
      </c>
      <c r="AA4" s="135" t="s">
        <v>790</v>
      </c>
      <c r="AB4" s="136" t="s">
        <v>628</v>
      </c>
      <c r="AC4" s="131" t="s">
        <v>803</v>
      </c>
      <c r="AD4" s="131" t="s">
        <v>660</v>
      </c>
      <c r="AE4" s="131">
        <v>2</v>
      </c>
      <c r="AF4" s="131">
        <v>2</v>
      </c>
      <c r="AG4" s="131" t="s">
        <v>1079</v>
      </c>
      <c r="AH4" s="131" t="s">
        <v>1076</v>
      </c>
      <c r="AI4" s="131" t="s">
        <v>1006</v>
      </c>
      <c r="AJ4" s="131" t="s">
        <v>1050</v>
      </c>
      <c r="AK4" s="131" t="s">
        <v>1197</v>
      </c>
      <c r="AL4" s="131" t="s">
        <v>1349</v>
      </c>
      <c r="AM4" s="131" t="s">
        <v>1355</v>
      </c>
      <c r="AN4" s="131" t="s">
        <v>1390</v>
      </c>
      <c r="AO4" s="131" t="s">
        <v>1391</v>
      </c>
      <c r="AP4" s="135" t="s">
        <v>1247</v>
      </c>
      <c r="AQ4" s="135" t="s">
        <v>1253</v>
      </c>
      <c r="AR4" s="136" t="s">
        <v>55</v>
      </c>
      <c r="AS4" s="131" t="s">
        <v>1483</v>
      </c>
      <c r="AT4" s="131" t="s">
        <v>1486</v>
      </c>
      <c r="AU4" s="131" t="s">
        <v>1536</v>
      </c>
      <c r="AV4" s="131" t="s">
        <v>1553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1082</v>
      </c>
      <c r="R5" s="133" t="s">
        <v>1083</v>
      </c>
      <c r="S5" s="133" t="s">
        <v>473</v>
      </c>
      <c r="T5" s="131" t="s">
        <v>1012</v>
      </c>
      <c r="U5" s="131" t="s">
        <v>565</v>
      </c>
      <c r="V5" s="131" t="s">
        <v>607</v>
      </c>
      <c r="W5" s="135" t="s">
        <v>658</v>
      </c>
      <c r="X5" s="131" t="s">
        <v>671</v>
      </c>
      <c r="Y5" s="131" t="s">
        <v>1147</v>
      </c>
      <c r="Z5" s="135" t="s">
        <v>791</v>
      </c>
      <c r="AA5" s="135" t="s">
        <v>759</v>
      </c>
      <c r="AB5" s="136" t="s">
        <v>629</v>
      </c>
      <c r="AC5" s="131" t="s">
        <v>659</v>
      </c>
      <c r="AD5" s="131" t="s">
        <v>805</v>
      </c>
      <c r="AE5" s="131">
        <v>4</v>
      </c>
      <c r="AF5" s="131">
        <v>3</v>
      </c>
      <c r="AG5" s="131" t="s">
        <v>1080</v>
      </c>
      <c r="AH5" s="131" t="s">
        <v>1077</v>
      </c>
      <c r="AI5" s="131" t="s">
        <v>1007</v>
      </c>
      <c r="AJ5" s="131" t="s">
        <v>1051</v>
      </c>
      <c r="AK5" s="131" t="s">
        <v>1196</v>
      </c>
      <c r="AL5" s="131" t="s">
        <v>1350</v>
      </c>
      <c r="AM5" s="131" t="s">
        <v>1356</v>
      </c>
      <c r="AN5" s="131" t="s">
        <v>1246</v>
      </c>
      <c r="AO5" s="131" t="s">
        <v>1252</v>
      </c>
      <c r="AP5" s="135" t="s">
        <v>1392</v>
      </c>
      <c r="AQ5" s="135" t="s">
        <v>1393</v>
      </c>
      <c r="AR5" s="136" t="s">
        <v>56</v>
      </c>
      <c r="AS5" s="131" t="s">
        <v>1283</v>
      </c>
      <c r="AT5" s="131" t="s">
        <v>1484</v>
      </c>
      <c r="AU5" s="131" t="s">
        <v>1537</v>
      </c>
      <c r="AV5" s="131" t="s">
        <v>1554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1084</v>
      </c>
      <c r="R6" s="138" t="s">
        <v>1085</v>
      </c>
      <c r="S6" s="138"/>
      <c r="U6" s="131" t="s">
        <v>566</v>
      </c>
      <c r="X6" s="131" t="s">
        <v>672</v>
      </c>
      <c r="Y6" s="131" t="s">
        <v>674</v>
      </c>
      <c r="Z6" s="135" t="s">
        <v>755</v>
      </c>
      <c r="AA6" s="135" t="s">
        <v>760</v>
      </c>
      <c r="AB6" s="136" t="s">
        <v>630</v>
      </c>
      <c r="AD6" s="131" t="s">
        <v>806</v>
      </c>
      <c r="AF6" s="131">
        <v>4</v>
      </c>
      <c r="AG6" s="131" t="s">
        <v>1081</v>
      </c>
      <c r="AH6" s="131" t="s">
        <v>1078</v>
      </c>
      <c r="AJ6" s="131" t="s">
        <v>1052</v>
      </c>
      <c r="AL6" s="131" t="s">
        <v>1351</v>
      </c>
      <c r="AM6" s="131" t="s">
        <v>1357</v>
      </c>
      <c r="AN6" s="131" t="s">
        <v>1248</v>
      </c>
      <c r="AO6" s="131" t="s">
        <v>1254</v>
      </c>
      <c r="AP6" s="135" t="s">
        <v>1394</v>
      </c>
      <c r="AQ6" s="135" t="s">
        <v>1395</v>
      </c>
      <c r="AR6" s="136" t="s">
        <v>57</v>
      </c>
      <c r="AU6" s="131" t="s">
        <v>1538</v>
      </c>
      <c r="AV6" s="131" t="s">
        <v>1555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1086</v>
      </c>
      <c r="R7" s="138" t="s">
        <v>1087</v>
      </c>
      <c r="S7" s="138"/>
      <c r="U7" s="131" t="s">
        <v>567</v>
      </c>
      <c r="X7" s="131" t="s">
        <v>680</v>
      </c>
      <c r="Y7" s="131" t="s">
        <v>675</v>
      </c>
      <c r="Z7" s="135" t="s">
        <v>756</v>
      </c>
      <c r="AA7" s="135" t="s">
        <v>761</v>
      </c>
      <c r="AB7" s="136" t="s">
        <v>631</v>
      </c>
      <c r="AD7" s="131" t="s">
        <v>807</v>
      </c>
      <c r="AG7" s="131" t="s">
        <v>609</v>
      </c>
      <c r="AH7" s="131" t="s">
        <v>1088</v>
      </c>
      <c r="AJ7" s="131" t="s">
        <v>1053</v>
      </c>
      <c r="AL7" s="131" t="s">
        <v>1352</v>
      </c>
      <c r="AM7" s="131" t="s">
        <v>1358</v>
      </c>
      <c r="AN7" s="131" t="s">
        <v>1249</v>
      </c>
      <c r="AO7" s="131" t="s">
        <v>1255</v>
      </c>
      <c r="AP7" s="135" t="s">
        <v>1396</v>
      </c>
      <c r="AQ7" s="135" t="s">
        <v>1397</v>
      </c>
      <c r="AR7" s="136" t="s">
        <v>58</v>
      </c>
      <c r="AU7" s="131" t="s">
        <v>1539</v>
      </c>
      <c r="AV7" s="131" t="s">
        <v>1310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1089</v>
      </c>
      <c r="R8" s="138" t="s">
        <v>1090</v>
      </c>
      <c r="S8" s="138"/>
      <c r="U8" s="131" t="s">
        <v>568</v>
      </c>
      <c r="X8" s="131" t="s">
        <v>681</v>
      </c>
      <c r="Y8" s="131" t="s">
        <v>676</v>
      </c>
      <c r="Z8" s="135" t="s">
        <v>757</v>
      </c>
      <c r="AA8" s="135" t="s">
        <v>762</v>
      </c>
      <c r="AB8" s="136" t="s">
        <v>632</v>
      </c>
      <c r="AD8" s="131" t="s">
        <v>808</v>
      </c>
      <c r="AG8" s="131" t="s">
        <v>610</v>
      </c>
      <c r="AH8" s="131" t="s">
        <v>839</v>
      </c>
      <c r="AJ8" s="131" t="s">
        <v>1054</v>
      </c>
      <c r="AL8" s="131" t="s">
        <v>1353</v>
      </c>
      <c r="AM8" s="131" t="s">
        <v>1359</v>
      </c>
      <c r="AN8" s="131" t="s">
        <v>1250</v>
      </c>
      <c r="AO8" s="131" t="s">
        <v>1256</v>
      </c>
      <c r="AP8" s="135" t="s">
        <v>1398</v>
      </c>
      <c r="AQ8" s="135" t="s">
        <v>1399</v>
      </c>
      <c r="AR8" s="136" t="s">
        <v>59</v>
      </c>
      <c r="AU8" s="131" t="s">
        <v>1453</v>
      </c>
      <c r="AV8" s="131" t="s">
        <v>1311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1091</v>
      </c>
      <c r="R9" s="138" t="s">
        <v>1092</v>
      </c>
      <c r="S9" s="138"/>
      <c r="U9" s="131" t="s">
        <v>569</v>
      </c>
      <c r="Y9" s="131" t="s">
        <v>687</v>
      </c>
      <c r="Z9" s="134"/>
      <c r="AA9" s="135" t="s">
        <v>763</v>
      </c>
      <c r="AB9" s="136" t="s">
        <v>633</v>
      </c>
      <c r="AD9" s="131" t="s">
        <v>809</v>
      </c>
      <c r="AG9" s="131" t="s">
        <v>611</v>
      </c>
      <c r="AH9" s="131" t="s">
        <v>1093</v>
      </c>
      <c r="AJ9" s="131" t="s">
        <v>1055</v>
      </c>
      <c r="AM9" s="131" t="s">
        <v>1360</v>
      </c>
      <c r="AO9" s="131" t="s">
        <v>1257</v>
      </c>
      <c r="AP9" s="134"/>
      <c r="AQ9" s="135" t="s">
        <v>1400</v>
      </c>
      <c r="AR9" s="136" t="s">
        <v>60</v>
      </c>
      <c r="AU9" s="131" t="s">
        <v>1454</v>
      </c>
      <c r="AV9" s="131" t="s">
        <v>1312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1094</v>
      </c>
      <c r="R10" s="138" t="s">
        <v>1095</v>
      </c>
      <c r="S10" s="138"/>
      <c r="U10" s="131" t="s">
        <v>570</v>
      </c>
      <c r="Y10" s="131" t="s">
        <v>688</v>
      </c>
      <c r="Z10" s="134"/>
      <c r="AA10" s="135" t="s">
        <v>764</v>
      </c>
      <c r="AB10" s="136" t="s">
        <v>634</v>
      </c>
      <c r="AD10" s="131" t="s">
        <v>810</v>
      </c>
      <c r="AG10" s="131" t="s">
        <v>612</v>
      </c>
      <c r="AH10" s="131" t="s">
        <v>841</v>
      </c>
      <c r="AJ10" s="131" t="s">
        <v>1056</v>
      </c>
      <c r="AM10" s="131" t="s">
        <v>1361</v>
      </c>
      <c r="AO10" s="131" t="s">
        <v>1258</v>
      </c>
      <c r="AP10" s="134"/>
      <c r="AQ10" s="135" t="s">
        <v>1401</v>
      </c>
      <c r="AR10" s="136" t="s">
        <v>61</v>
      </c>
      <c r="AU10" s="131" t="s">
        <v>1455</v>
      </c>
      <c r="AV10" s="131" t="s">
        <v>1313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1096</v>
      </c>
      <c r="R11" s="138" t="s">
        <v>1097</v>
      </c>
      <c r="S11" s="138"/>
      <c r="U11" s="131" t="s">
        <v>571</v>
      </c>
      <c r="Y11" s="131" t="s">
        <v>689</v>
      </c>
      <c r="Z11" s="134"/>
      <c r="AA11" s="135" t="s">
        <v>765</v>
      </c>
      <c r="AB11" s="136" t="s">
        <v>635</v>
      </c>
      <c r="AD11" s="131" t="s">
        <v>811</v>
      </c>
      <c r="AG11" s="131" t="s">
        <v>613</v>
      </c>
      <c r="AH11" s="131" t="s">
        <v>842</v>
      </c>
      <c r="AJ11" s="131" t="s">
        <v>1057</v>
      </c>
      <c r="AM11" s="131" t="s">
        <v>1362</v>
      </c>
      <c r="AO11" s="131" t="s">
        <v>1259</v>
      </c>
      <c r="AP11" s="134"/>
      <c r="AQ11" s="135" t="s">
        <v>1402</v>
      </c>
      <c r="AR11" s="136" t="s">
        <v>62</v>
      </c>
      <c r="AU11" s="131" t="s">
        <v>1456</v>
      </c>
      <c r="AV11" s="131" t="s">
        <v>1314</v>
      </c>
    </row>
    <row r="12" spans="1:48" s="131" customFormat="1" ht="15.75">
      <c r="A12" s="131" t="s">
        <v>1027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1098</v>
      </c>
      <c r="R12" s="138" t="s">
        <v>1099</v>
      </c>
      <c r="S12" s="138"/>
      <c r="U12" s="131" t="s">
        <v>572</v>
      </c>
      <c r="Y12" s="131" t="s">
        <v>690</v>
      </c>
      <c r="Z12" s="134"/>
      <c r="AA12" s="135" t="s">
        <v>766</v>
      </c>
      <c r="AB12" s="136" t="s">
        <v>636</v>
      </c>
      <c r="AG12" s="131" t="s">
        <v>614</v>
      </c>
      <c r="AH12" s="131" t="s">
        <v>843</v>
      </c>
      <c r="AJ12" s="131" t="s">
        <v>1058</v>
      </c>
      <c r="AM12" s="131" t="s">
        <v>1363</v>
      </c>
      <c r="AO12" s="131" t="s">
        <v>1260</v>
      </c>
      <c r="AP12" s="134"/>
      <c r="AQ12" s="135" t="s">
        <v>1403</v>
      </c>
      <c r="AR12" s="136" t="s">
        <v>63</v>
      </c>
      <c r="AU12" s="131" t="s">
        <v>1457</v>
      </c>
      <c r="AV12" s="131" t="s">
        <v>1315</v>
      </c>
    </row>
    <row r="13" spans="1:48" s="131" customFormat="1" ht="15.75">
      <c r="A13" s="131" t="s">
        <v>437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1100</v>
      </c>
      <c r="R13" s="138" t="s">
        <v>1101</v>
      </c>
      <c r="S13" s="138"/>
      <c r="U13" s="131" t="s">
        <v>573</v>
      </c>
      <c r="Y13" s="131" t="s">
        <v>691</v>
      </c>
      <c r="Z13" s="134"/>
      <c r="AA13" s="135" t="s">
        <v>767</v>
      </c>
      <c r="AB13" s="136" t="s">
        <v>637</v>
      </c>
      <c r="AG13" s="131" t="s">
        <v>615</v>
      </c>
      <c r="AH13" s="131" t="s">
        <v>844</v>
      </c>
      <c r="AJ13" s="131" t="s">
        <v>1059</v>
      </c>
      <c r="AM13" s="131" t="s">
        <v>1364</v>
      </c>
      <c r="AO13" s="131" t="s">
        <v>1261</v>
      </c>
      <c r="AP13" s="134"/>
      <c r="AQ13" s="135" t="s">
        <v>1404</v>
      </c>
      <c r="AR13" s="136" t="s">
        <v>64</v>
      </c>
      <c r="AU13" s="131" t="s">
        <v>1458</v>
      </c>
      <c r="AV13" s="131" t="s">
        <v>1316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1102</v>
      </c>
      <c r="R14" s="138" t="s">
        <v>1103</v>
      </c>
      <c r="S14" s="138"/>
      <c r="U14" s="131" t="s">
        <v>1013</v>
      </c>
      <c r="Y14" s="131" t="s">
        <v>692</v>
      </c>
      <c r="Z14" s="134"/>
      <c r="AA14" s="135" t="s">
        <v>768</v>
      </c>
      <c r="AB14" s="136" t="s">
        <v>638</v>
      </c>
      <c r="AG14" s="131" t="s">
        <v>616</v>
      </c>
      <c r="AH14" s="131" t="s">
        <v>845</v>
      </c>
      <c r="AJ14" s="131" t="s">
        <v>1060</v>
      </c>
      <c r="AM14" s="131" t="s">
        <v>1365</v>
      </c>
      <c r="AO14" s="131" t="s">
        <v>1262</v>
      </c>
      <c r="AP14" s="134"/>
      <c r="AQ14" s="135" t="s">
        <v>1405</v>
      </c>
      <c r="AR14" s="136" t="s">
        <v>65</v>
      </c>
      <c r="AU14" s="131" t="s">
        <v>1459</v>
      </c>
      <c r="AV14" s="131" t="s">
        <v>1317</v>
      </c>
    </row>
    <row r="15" spans="1:48" s="131" customFormat="1" ht="15.75">
      <c r="A15" s="131" t="s">
        <v>408</v>
      </c>
      <c r="B15" s="131" t="s">
        <v>107</v>
      </c>
      <c r="C15" s="131" t="s">
        <v>115</v>
      </c>
      <c r="M15" s="131" t="s">
        <v>158</v>
      </c>
      <c r="Q15" s="132" t="s">
        <v>1104</v>
      </c>
      <c r="R15" s="138" t="s">
        <v>1105</v>
      </c>
      <c r="S15" s="138"/>
      <c r="U15" s="131" t="s">
        <v>1014</v>
      </c>
      <c r="Y15" s="131" t="s">
        <v>693</v>
      </c>
      <c r="Z15" s="134"/>
      <c r="AA15" s="135" t="s">
        <v>769</v>
      </c>
      <c r="AB15" s="136" t="s">
        <v>639</v>
      </c>
      <c r="AG15" s="131" t="s">
        <v>617</v>
      </c>
      <c r="AH15" s="131" t="s">
        <v>846</v>
      </c>
      <c r="AJ15" s="131" t="s">
        <v>1061</v>
      </c>
      <c r="AM15" s="131" t="s">
        <v>1366</v>
      </c>
      <c r="AO15" s="131" t="s">
        <v>1263</v>
      </c>
      <c r="AP15" s="134"/>
      <c r="AQ15" s="135" t="s">
        <v>1406</v>
      </c>
      <c r="AR15" s="136" t="s">
        <v>66</v>
      </c>
      <c r="AU15" s="131" t="s">
        <v>1460</v>
      </c>
      <c r="AV15" s="131" t="s">
        <v>1318</v>
      </c>
    </row>
    <row r="16" spans="1:48" s="131" customFormat="1" ht="15.75">
      <c r="A16" s="131" t="s">
        <v>1106</v>
      </c>
      <c r="B16" s="131" t="s">
        <v>103</v>
      </c>
      <c r="C16" s="131" t="s">
        <v>109</v>
      </c>
      <c r="M16" s="131" t="s">
        <v>159</v>
      </c>
      <c r="Q16" s="132" t="s">
        <v>1107</v>
      </c>
      <c r="R16" s="138" t="s">
        <v>1108</v>
      </c>
      <c r="S16" s="138"/>
      <c r="U16" s="131" t="s">
        <v>1015</v>
      </c>
      <c r="Y16" s="131" t="s">
        <v>694</v>
      </c>
      <c r="Z16" s="134"/>
      <c r="AA16" s="135" t="s">
        <v>770</v>
      </c>
      <c r="AB16" s="136" t="s">
        <v>640</v>
      </c>
      <c r="AG16" s="131" t="s">
        <v>618</v>
      </c>
      <c r="AH16" s="131" t="s">
        <v>847</v>
      </c>
      <c r="AJ16" s="131" t="s">
        <v>1062</v>
      </c>
      <c r="AM16" s="131" t="s">
        <v>1367</v>
      </c>
      <c r="AO16" s="131" t="s">
        <v>1264</v>
      </c>
      <c r="AP16" s="134"/>
      <c r="AQ16" s="135" t="s">
        <v>1407</v>
      </c>
      <c r="AR16" s="136" t="s">
        <v>67</v>
      </c>
      <c r="AU16" s="131" t="s">
        <v>1461</v>
      </c>
      <c r="AV16" s="131" t="s">
        <v>1319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1109</v>
      </c>
      <c r="R17" s="138" t="s">
        <v>1110</v>
      </c>
      <c r="S17" s="138"/>
      <c r="U17" s="131" t="s">
        <v>1016</v>
      </c>
      <c r="Y17" s="131" t="s">
        <v>695</v>
      </c>
      <c r="Z17" s="134"/>
      <c r="AA17" s="135" t="s">
        <v>771</v>
      </c>
      <c r="AB17" s="136" t="s">
        <v>641</v>
      </c>
      <c r="AG17" s="131" t="s">
        <v>619</v>
      </c>
      <c r="AH17" s="131" t="s">
        <v>1111</v>
      </c>
      <c r="AM17" s="131" t="s">
        <v>1368</v>
      </c>
      <c r="AO17" s="131" t="s">
        <v>1265</v>
      </c>
      <c r="AP17" s="134"/>
      <c r="AQ17" s="135" t="s">
        <v>1408</v>
      </c>
      <c r="AR17" s="136" t="s">
        <v>68</v>
      </c>
      <c r="AU17" s="131" t="s">
        <v>1462</v>
      </c>
      <c r="AV17" s="131" t="s">
        <v>1320</v>
      </c>
    </row>
    <row r="18" spans="1:48" s="131" customFormat="1" ht="15.75">
      <c r="A18" s="131" t="s">
        <v>440</v>
      </c>
      <c r="B18" s="131" t="s">
        <v>105</v>
      </c>
      <c r="C18" s="131" t="s">
        <v>113</v>
      </c>
      <c r="M18" s="131" t="s">
        <v>161</v>
      </c>
      <c r="Q18" s="132" t="s">
        <v>1112</v>
      </c>
      <c r="R18" s="138" t="s">
        <v>1113</v>
      </c>
      <c r="S18" s="138"/>
      <c r="U18" s="131" t="s">
        <v>1017</v>
      </c>
      <c r="Y18" s="131" t="s">
        <v>696</v>
      </c>
      <c r="Z18" s="134"/>
      <c r="AA18" s="135" t="s">
        <v>772</v>
      </c>
      <c r="AB18" s="136" t="s">
        <v>642</v>
      </c>
      <c r="AG18" s="131" t="s">
        <v>620</v>
      </c>
      <c r="AH18" s="131" t="s">
        <v>849</v>
      </c>
      <c r="AM18" s="131" t="s">
        <v>1369</v>
      </c>
      <c r="AO18" s="131" t="s">
        <v>1266</v>
      </c>
      <c r="AP18" s="134"/>
      <c r="AQ18" s="135" t="s">
        <v>1409</v>
      </c>
      <c r="AR18" s="136" t="s">
        <v>69</v>
      </c>
      <c r="AU18" s="131" t="s">
        <v>1463</v>
      </c>
      <c r="AV18" s="131" t="s">
        <v>1321</v>
      </c>
    </row>
    <row r="19" spans="1:48" s="131" customFormat="1" ht="15.75">
      <c r="A19" s="131" t="s">
        <v>443</v>
      </c>
      <c r="B19" s="131" t="s">
        <v>363</v>
      </c>
      <c r="C19" s="131" t="s">
        <v>364</v>
      </c>
      <c r="M19" s="131" t="s">
        <v>162</v>
      </c>
      <c r="Q19" s="132" t="s">
        <v>1114</v>
      </c>
      <c r="R19" s="138" t="s">
        <v>1115</v>
      </c>
      <c r="S19" s="138"/>
      <c r="U19" s="131" t="s">
        <v>1018</v>
      </c>
      <c r="Y19" s="131" t="s">
        <v>697</v>
      </c>
      <c r="Z19" s="134"/>
      <c r="AA19" s="135" t="s">
        <v>773</v>
      </c>
      <c r="AB19" s="136" t="s">
        <v>643</v>
      </c>
      <c r="AG19" s="131" t="s">
        <v>621</v>
      </c>
      <c r="AH19" s="131" t="s">
        <v>850</v>
      </c>
      <c r="AM19" s="131" t="s">
        <v>1370</v>
      </c>
      <c r="AO19" s="131" t="s">
        <v>1267</v>
      </c>
      <c r="AP19" s="134"/>
      <c r="AQ19" s="135" t="s">
        <v>1410</v>
      </c>
      <c r="AR19" s="136" t="s">
        <v>70</v>
      </c>
      <c r="AU19" s="131" t="s">
        <v>1464</v>
      </c>
      <c r="AV19" s="131" t="s">
        <v>1322</v>
      </c>
    </row>
    <row r="20" spans="1:48" s="131" customFormat="1" ht="15.75">
      <c r="A20" s="131" t="s">
        <v>92</v>
      </c>
      <c r="M20" s="131" t="s">
        <v>163</v>
      </c>
      <c r="Q20" s="132" t="s">
        <v>1116</v>
      </c>
      <c r="R20" s="138" t="s">
        <v>1117</v>
      </c>
      <c r="S20" s="138"/>
      <c r="Y20" s="131" t="s">
        <v>698</v>
      </c>
      <c r="Z20" s="134"/>
      <c r="AA20" s="135" t="s">
        <v>774</v>
      </c>
      <c r="AB20" s="136" t="s">
        <v>644</v>
      </c>
      <c r="AG20" s="131" t="s">
        <v>622</v>
      </c>
      <c r="AH20" s="131" t="s">
        <v>851</v>
      </c>
      <c r="AM20" s="131" t="s">
        <v>1371</v>
      </c>
      <c r="AO20" s="131" t="s">
        <v>1268</v>
      </c>
      <c r="AP20" s="134"/>
      <c r="AQ20" s="135" t="s">
        <v>1411</v>
      </c>
      <c r="AR20" s="136" t="s">
        <v>71</v>
      </c>
      <c r="AU20" s="131" t="s">
        <v>1465</v>
      </c>
      <c r="AV20" s="131" t="s">
        <v>1323</v>
      </c>
    </row>
    <row r="21" spans="1:48" s="131" customFormat="1" ht="15.75">
      <c r="A21" s="131" t="s">
        <v>446</v>
      </c>
      <c r="M21" s="131" t="s">
        <v>164</v>
      </c>
      <c r="Q21" s="132" t="s">
        <v>1118</v>
      </c>
      <c r="R21" s="138" t="s">
        <v>1119</v>
      </c>
      <c r="S21" s="138"/>
      <c r="Y21" s="131" t="s">
        <v>699</v>
      </c>
      <c r="Z21" s="134"/>
      <c r="AA21" s="135" t="s">
        <v>775</v>
      </c>
      <c r="AB21" s="136" t="s">
        <v>645</v>
      </c>
      <c r="AG21" s="131" t="s">
        <v>623</v>
      </c>
      <c r="AH21" s="131" t="s">
        <v>852</v>
      </c>
      <c r="AM21" s="131" t="s">
        <v>1372</v>
      </c>
      <c r="AO21" s="131" t="s">
        <v>1269</v>
      </c>
      <c r="AP21" s="134"/>
      <c r="AQ21" s="135" t="s">
        <v>1412</v>
      </c>
      <c r="AR21" s="136" t="s">
        <v>72</v>
      </c>
      <c r="AU21" s="131" t="s">
        <v>1466</v>
      </c>
      <c r="AV21" s="131" t="s">
        <v>1324</v>
      </c>
    </row>
    <row r="22" spans="1:48" s="131" customFormat="1" ht="15.75">
      <c r="A22" s="131" t="s">
        <v>399</v>
      </c>
      <c r="M22" s="131" t="s">
        <v>165</v>
      </c>
      <c r="Q22" s="132" t="s">
        <v>1120</v>
      </c>
      <c r="R22" s="138" t="s">
        <v>1121</v>
      </c>
      <c r="S22" s="138"/>
      <c r="Y22" s="131" t="s">
        <v>700</v>
      </c>
      <c r="Z22" s="134"/>
      <c r="AA22" s="135" t="s">
        <v>776</v>
      </c>
      <c r="AB22" s="136" t="s">
        <v>646</v>
      </c>
      <c r="AG22" s="131" t="s">
        <v>874</v>
      </c>
      <c r="AH22" s="131" t="s">
        <v>853</v>
      </c>
      <c r="AM22" s="131" t="s">
        <v>1373</v>
      </c>
      <c r="AO22" s="131" t="s">
        <v>1270</v>
      </c>
      <c r="AP22" s="134"/>
      <c r="AQ22" s="135" t="s">
        <v>1413</v>
      </c>
      <c r="AR22" s="136" t="s">
        <v>73</v>
      </c>
      <c r="AU22" s="131" t="s">
        <v>1467</v>
      </c>
      <c r="AV22" s="131" t="s">
        <v>1556</v>
      </c>
    </row>
    <row r="23" spans="1:48" s="131" customFormat="1" ht="15.75">
      <c r="A23" s="131" t="s">
        <v>93</v>
      </c>
      <c r="M23" s="131" t="s">
        <v>166</v>
      </c>
      <c r="Q23" s="132" t="s">
        <v>1122</v>
      </c>
      <c r="R23" s="138" t="s">
        <v>1123</v>
      </c>
      <c r="S23" s="138"/>
      <c r="Y23" s="131" t="s">
        <v>701</v>
      </c>
      <c r="Z23" s="134"/>
      <c r="AA23" s="135" t="s">
        <v>777</v>
      </c>
      <c r="AB23" s="136" t="s">
        <v>647</v>
      </c>
      <c r="AG23" s="131" t="s">
        <v>875</v>
      </c>
      <c r="AH23" s="131" t="s">
        <v>898</v>
      </c>
      <c r="AM23" s="131" t="s">
        <v>1374</v>
      </c>
      <c r="AO23" s="131" t="s">
        <v>1271</v>
      </c>
      <c r="AP23" s="134"/>
      <c r="AQ23" s="135" t="s">
        <v>1414</v>
      </c>
      <c r="AR23" s="136" t="s">
        <v>74</v>
      </c>
      <c r="AU23" s="131" t="s">
        <v>1540</v>
      </c>
      <c r="AV23" s="131" t="s">
        <v>1557</v>
      </c>
    </row>
    <row r="24" spans="1:48" s="131" customFormat="1" ht="15.75">
      <c r="A24" s="131" t="s">
        <v>94</v>
      </c>
      <c r="M24" s="131" t="s">
        <v>167</v>
      </c>
      <c r="Q24" s="132" t="s">
        <v>1124</v>
      </c>
      <c r="R24" s="138" t="s">
        <v>1125</v>
      </c>
      <c r="S24" s="138"/>
      <c r="Y24" s="131" t="s">
        <v>702</v>
      </c>
      <c r="Z24" s="134"/>
      <c r="AA24" s="135" t="s">
        <v>778</v>
      </c>
      <c r="AB24" s="136" t="s">
        <v>648</v>
      </c>
      <c r="AG24" s="131" t="s">
        <v>876</v>
      </c>
      <c r="AH24" s="131" t="s">
        <v>899</v>
      </c>
      <c r="AM24" s="131" t="s">
        <v>1375</v>
      </c>
      <c r="AO24" s="131" t="s">
        <v>1272</v>
      </c>
      <c r="AP24" s="134"/>
      <c r="AQ24" s="135" t="s">
        <v>1415</v>
      </c>
      <c r="AR24" s="136" t="s">
        <v>75</v>
      </c>
      <c r="AU24" s="131" t="s">
        <v>1541</v>
      </c>
      <c r="AV24" s="131" t="s">
        <v>1558</v>
      </c>
    </row>
    <row r="25" spans="1:48" s="131" customFormat="1" ht="15.75">
      <c r="A25" s="131" t="s">
        <v>27</v>
      </c>
      <c r="M25" s="131" t="s">
        <v>168</v>
      </c>
      <c r="Q25" s="132" t="s">
        <v>1126</v>
      </c>
      <c r="R25" s="138" t="s">
        <v>1127</v>
      </c>
      <c r="S25" s="138"/>
      <c r="Y25" s="131" t="s">
        <v>703</v>
      </c>
      <c r="Z25" s="134"/>
      <c r="AA25" s="135" t="s">
        <v>779</v>
      </c>
      <c r="AB25" s="136" t="s">
        <v>649</v>
      </c>
      <c r="AG25" s="131" t="s">
        <v>877</v>
      </c>
      <c r="AH25" s="131" t="s">
        <v>900</v>
      </c>
      <c r="AM25" s="131" t="s">
        <v>1376</v>
      </c>
      <c r="AO25" s="131" t="s">
        <v>1273</v>
      </c>
      <c r="AP25" s="134"/>
      <c r="AQ25" s="135" t="s">
        <v>1416</v>
      </c>
      <c r="AR25" s="136" t="s">
        <v>76</v>
      </c>
      <c r="AU25" s="131" t="s">
        <v>1542</v>
      </c>
      <c r="AV25" s="131" t="s">
        <v>1559</v>
      </c>
    </row>
    <row r="26" spans="1:48" s="131" customFormat="1" ht="15.75">
      <c r="A26" s="131" t="s">
        <v>413</v>
      </c>
      <c r="M26" s="131" t="s">
        <v>169</v>
      </c>
      <c r="Q26" s="132" t="s">
        <v>1128</v>
      </c>
      <c r="R26" s="138" t="s">
        <v>1129</v>
      </c>
      <c r="S26" s="138"/>
      <c r="Y26" s="131" t="s">
        <v>704</v>
      </c>
      <c r="Z26" s="134"/>
      <c r="AA26" s="135" t="s">
        <v>780</v>
      </c>
      <c r="AB26" s="136" t="s">
        <v>650</v>
      </c>
      <c r="AG26" s="131" t="s">
        <v>878</v>
      </c>
      <c r="AH26" s="131" t="s">
        <v>901</v>
      </c>
      <c r="AM26" s="131" t="s">
        <v>1377</v>
      </c>
      <c r="AO26" s="131" t="s">
        <v>1274</v>
      </c>
      <c r="AP26" s="134"/>
      <c r="AQ26" s="135" t="s">
        <v>1417</v>
      </c>
      <c r="AR26" s="136" t="s">
        <v>77</v>
      </c>
      <c r="AU26" s="131" t="s">
        <v>1543</v>
      </c>
      <c r="AV26" s="131" t="s">
        <v>1560</v>
      </c>
    </row>
    <row r="27" spans="1:48" s="131" customFormat="1" ht="15.75">
      <c r="A27" s="131" t="s">
        <v>415</v>
      </c>
      <c r="M27" s="131" t="s">
        <v>170</v>
      </c>
      <c r="Q27" s="132" t="s">
        <v>1130</v>
      </c>
      <c r="R27" s="138" t="s">
        <v>1131</v>
      </c>
      <c r="S27" s="138"/>
      <c r="Y27" s="131" t="s">
        <v>705</v>
      </c>
      <c r="Z27" s="134"/>
      <c r="AA27" s="135" t="s">
        <v>781</v>
      </c>
      <c r="AB27" s="136" t="s">
        <v>651</v>
      </c>
      <c r="AG27" s="131" t="s">
        <v>879</v>
      </c>
      <c r="AH27" s="131" t="s">
        <v>902</v>
      </c>
      <c r="AM27" s="131" t="s">
        <v>1378</v>
      </c>
      <c r="AO27" s="131" t="s">
        <v>1275</v>
      </c>
      <c r="AP27" s="134"/>
      <c r="AQ27" s="135" t="s">
        <v>1418</v>
      </c>
      <c r="AR27" s="136" t="s">
        <v>78</v>
      </c>
      <c r="AU27" s="131" t="s">
        <v>1544</v>
      </c>
      <c r="AV27" s="131" t="s">
        <v>1561</v>
      </c>
    </row>
    <row r="28" spans="1:48" s="131" customFormat="1" ht="15.75">
      <c r="A28" s="131" t="s">
        <v>95</v>
      </c>
      <c r="M28" s="131" t="s">
        <v>171</v>
      </c>
      <c r="Q28" s="132" t="s">
        <v>1132</v>
      </c>
      <c r="R28" s="138" t="s">
        <v>1133</v>
      </c>
      <c r="S28" s="138"/>
      <c r="Y28" s="131" t="s">
        <v>706</v>
      </c>
      <c r="Z28" s="134"/>
      <c r="AA28" s="135" t="s">
        <v>782</v>
      </c>
      <c r="AB28" s="136" t="s">
        <v>652</v>
      </c>
      <c r="AG28" s="131" t="s">
        <v>880</v>
      </c>
      <c r="AH28" s="131" t="s">
        <v>903</v>
      </c>
      <c r="AM28" s="131" t="s">
        <v>1379</v>
      </c>
      <c r="AO28" s="131" t="s">
        <v>1276</v>
      </c>
      <c r="AP28" s="134"/>
      <c r="AQ28" s="135" t="s">
        <v>1419</v>
      </c>
      <c r="AR28" s="136" t="s">
        <v>79</v>
      </c>
      <c r="AU28" s="131" t="s">
        <v>1545</v>
      </c>
      <c r="AV28" s="131" t="s">
        <v>1562</v>
      </c>
    </row>
    <row r="29" spans="1:48" s="131" customFormat="1" ht="15.75">
      <c r="A29" s="131" t="s">
        <v>96</v>
      </c>
      <c r="M29" s="131" t="s">
        <v>172</v>
      </c>
      <c r="Q29" s="132" t="s">
        <v>1134</v>
      </c>
      <c r="R29" s="138" t="s">
        <v>1135</v>
      </c>
      <c r="S29" s="138"/>
      <c r="Y29" s="131" t="s">
        <v>707</v>
      </c>
      <c r="Z29" s="134"/>
      <c r="AA29" s="135" t="s">
        <v>783</v>
      </c>
      <c r="AB29" s="136" t="s">
        <v>721</v>
      </c>
      <c r="AG29" s="131" t="s">
        <v>881</v>
      </c>
      <c r="AH29" s="131" t="s">
        <v>904</v>
      </c>
      <c r="AM29" s="131" t="s">
        <v>1380</v>
      </c>
      <c r="AO29" s="131" t="s">
        <v>1277</v>
      </c>
      <c r="AP29" s="134"/>
      <c r="AQ29" s="135" t="s">
        <v>1420</v>
      </c>
      <c r="AR29" s="136" t="s">
        <v>721</v>
      </c>
      <c r="AU29" s="131" t="s">
        <v>1546</v>
      </c>
      <c r="AV29" s="131" t="s">
        <v>1563</v>
      </c>
    </row>
    <row r="30" spans="1:48" s="131" customFormat="1" ht="15.75">
      <c r="A30" s="131" t="s">
        <v>44</v>
      </c>
      <c r="M30" s="131" t="s">
        <v>173</v>
      </c>
      <c r="Q30" s="132" t="s">
        <v>1136</v>
      </c>
      <c r="R30" s="138" t="s">
        <v>1137</v>
      </c>
      <c r="S30" s="138"/>
      <c r="Y30" s="131" t="s">
        <v>708</v>
      </c>
      <c r="Z30" s="134"/>
      <c r="AA30" s="135" t="s">
        <v>784</v>
      </c>
      <c r="AB30" s="136" t="s">
        <v>722</v>
      </c>
      <c r="AG30" s="131" t="s">
        <v>882</v>
      </c>
      <c r="AH30" s="131" t="s">
        <v>905</v>
      </c>
      <c r="AM30" s="131" t="s">
        <v>1381</v>
      </c>
      <c r="AO30" s="131" t="s">
        <v>1278</v>
      </c>
      <c r="AP30" s="134"/>
      <c r="AQ30" s="135" t="s">
        <v>1421</v>
      </c>
      <c r="AR30" s="136" t="s">
        <v>722</v>
      </c>
      <c r="AU30" s="131" t="s">
        <v>1547</v>
      </c>
      <c r="AV30" s="131" t="s">
        <v>1564</v>
      </c>
    </row>
    <row r="31" spans="1:48" s="131" customFormat="1" ht="15.75">
      <c r="A31" s="131" t="s">
        <v>97</v>
      </c>
      <c r="M31" s="131" t="s">
        <v>174</v>
      </c>
      <c r="Q31" s="132" t="s">
        <v>1138</v>
      </c>
      <c r="R31" s="138" t="s">
        <v>1139</v>
      </c>
      <c r="S31" s="138"/>
      <c r="Y31" s="131" t="s">
        <v>709</v>
      </c>
      <c r="Z31" s="134"/>
      <c r="AA31" s="135" t="s">
        <v>785</v>
      </c>
      <c r="AB31" s="136" t="s">
        <v>723</v>
      </c>
      <c r="AG31" s="131" t="s">
        <v>883</v>
      </c>
      <c r="AH31" s="131" t="s">
        <v>906</v>
      </c>
      <c r="AM31" s="131" t="s">
        <v>1382</v>
      </c>
      <c r="AO31" s="131" t="s">
        <v>1279</v>
      </c>
      <c r="AP31" s="134"/>
      <c r="AQ31" s="135" t="s">
        <v>1422</v>
      </c>
      <c r="AR31" s="136" t="s">
        <v>723</v>
      </c>
      <c r="AU31" s="131" t="s">
        <v>1548</v>
      </c>
      <c r="AV31" s="131" t="s">
        <v>1565</v>
      </c>
    </row>
    <row r="32" spans="1:48" s="131" customFormat="1" ht="15.75">
      <c r="A32" s="131" t="s">
        <v>24</v>
      </c>
      <c r="M32" s="131" t="s">
        <v>175</v>
      </c>
      <c r="Q32" s="132" t="s">
        <v>1140</v>
      </c>
      <c r="R32" s="138" t="s">
        <v>1141</v>
      </c>
      <c r="S32" s="138"/>
      <c r="Y32" s="131" t="s">
        <v>710</v>
      </c>
      <c r="Z32" s="134"/>
      <c r="AA32" s="135" t="s">
        <v>786</v>
      </c>
      <c r="AB32" s="136" t="s">
        <v>724</v>
      </c>
      <c r="AG32" s="131" t="s">
        <v>884</v>
      </c>
      <c r="AH32" s="131" t="s">
        <v>907</v>
      </c>
      <c r="AM32" s="131" t="s">
        <v>1383</v>
      </c>
      <c r="AO32" s="131" t="s">
        <v>1280</v>
      </c>
      <c r="AP32" s="134"/>
      <c r="AQ32" s="135" t="s">
        <v>1423</v>
      </c>
      <c r="AR32" s="136" t="s">
        <v>724</v>
      </c>
      <c r="AU32" s="131" t="s">
        <v>1549</v>
      </c>
      <c r="AV32" s="131" t="s">
        <v>1566</v>
      </c>
    </row>
    <row r="33" spans="1:48" s="131" customFormat="1" ht="15.75">
      <c r="A33" s="131" t="s">
        <v>98</v>
      </c>
      <c r="M33" s="131" t="s">
        <v>253</v>
      </c>
      <c r="Q33" s="132" t="s">
        <v>1142</v>
      </c>
      <c r="R33" s="138" t="s">
        <v>1143</v>
      </c>
      <c r="S33" s="138"/>
      <c r="Y33" s="131" t="s">
        <v>711</v>
      </c>
      <c r="Z33" s="134"/>
      <c r="AA33" s="135" t="s">
        <v>787</v>
      </c>
      <c r="AB33" s="136" t="s">
        <v>725</v>
      </c>
      <c r="AH33" s="131" t="s">
        <v>1144</v>
      </c>
      <c r="AM33" s="131" t="s">
        <v>1384</v>
      </c>
      <c r="AO33" s="131" t="s">
        <v>1281</v>
      </c>
      <c r="AP33" s="134"/>
      <c r="AQ33" s="135" t="s">
        <v>1424</v>
      </c>
      <c r="AR33" s="136" t="s">
        <v>725</v>
      </c>
      <c r="AU33" s="131" t="s">
        <v>1550</v>
      </c>
      <c r="AV33" s="131" t="s">
        <v>1552</v>
      </c>
    </row>
    <row r="34" spans="1:48" s="131" customFormat="1" ht="15.75">
      <c r="A34" s="131" t="s">
        <v>99</v>
      </c>
      <c r="M34" s="131" t="s">
        <v>254</v>
      </c>
      <c r="Q34" s="132" t="s">
        <v>1145</v>
      </c>
      <c r="R34" s="138" t="s">
        <v>1146</v>
      </c>
      <c r="S34" s="138"/>
      <c r="Y34" s="131" t="s">
        <v>712</v>
      </c>
      <c r="AA34" s="135" t="s">
        <v>788</v>
      </c>
      <c r="AB34" s="136" t="s">
        <v>726</v>
      </c>
      <c r="AM34" s="131" t="s">
        <v>1385</v>
      </c>
      <c r="AO34" s="131" t="s">
        <v>1282</v>
      </c>
      <c r="AQ34" s="135" t="s">
        <v>1425</v>
      </c>
      <c r="AR34" s="136" t="s">
        <v>726</v>
      </c>
    </row>
    <row r="35" spans="1:48" s="131" customFormat="1" ht="14.25">
      <c r="A35" s="131" t="s">
        <v>1029</v>
      </c>
      <c r="M35" s="131" t="s">
        <v>255</v>
      </c>
      <c r="AB35" s="136" t="s">
        <v>727</v>
      </c>
      <c r="AR35" s="136" t="s">
        <v>727</v>
      </c>
    </row>
    <row r="36" spans="1:48" s="131" customFormat="1" ht="14.25">
      <c r="A36" s="131" t="s">
        <v>402</v>
      </c>
      <c r="AB36" s="136" t="s">
        <v>728</v>
      </c>
      <c r="AR36" s="136" t="s">
        <v>728</v>
      </c>
    </row>
    <row r="37" spans="1:48" s="131" customFormat="1" ht="14.25">
      <c r="A37" s="131" t="s">
        <v>1028</v>
      </c>
      <c r="AB37" s="136" t="s">
        <v>729</v>
      </c>
      <c r="AR37" s="136" t="s">
        <v>729</v>
      </c>
    </row>
    <row r="38" spans="1:48" s="131" customFormat="1" ht="14.25">
      <c r="AB38" s="136" t="s">
        <v>730</v>
      </c>
      <c r="AR38" s="136" t="s">
        <v>730</v>
      </c>
    </row>
    <row r="39" spans="1:48" s="131" customFormat="1" ht="14.25">
      <c r="AB39" s="136" t="s">
        <v>731</v>
      </c>
      <c r="AR39" s="136" t="s">
        <v>731</v>
      </c>
    </row>
    <row r="40" spans="1:48" s="131" customFormat="1" ht="14.25">
      <c r="AB40" s="136" t="s">
        <v>732</v>
      </c>
      <c r="AR40" s="136" t="s">
        <v>732</v>
      </c>
    </row>
    <row r="41" spans="1:48" s="131" customFormat="1" ht="14.25">
      <c r="AB41" s="136" t="s">
        <v>733</v>
      </c>
      <c r="AR41" s="136" t="s">
        <v>733</v>
      </c>
    </row>
    <row r="42" spans="1:48" s="131" customFormat="1" ht="14.25">
      <c r="AB42" s="136" t="s">
        <v>734</v>
      </c>
      <c r="AR42" s="136" t="s">
        <v>734</v>
      </c>
    </row>
    <row r="43" spans="1:48" s="131" customFormat="1" ht="14.25">
      <c r="AB43" s="136" t="s">
        <v>735</v>
      </c>
      <c r="AR43" s="136" t="s">
        <v>735</v>
      </c>
    </row>
    <row r="44" spans="1:48" s="131" customFormat="1" ht="14.25">
      <c r="AB44" s="136" t="s">
        <v>793</v>
      </c>
      <c r="AR44" s="136" t="s">
        <v>793</v>
      </c>
    </row>
    <row r="45" spans="1:48" s="131" customFormat="1" ht="14.25">
      <c r="AB45" s="136" t="s">
        <v>794</v>
      </c>
      <c r="AR45" s="136" t="s">
        <v>794</v>
      </c>
    </row>
    <row r="46" spans="1:48" s="131" customFormat="1" ht="14.25">
      <c r="AB46" s="136" t="s">
        <v>795</v>
      </c>
      <c r="AR46" s="136" t="s">
        <v>795</v>
      </c>
    </row>
    <row r="47" spans="1:48" s="131" customFormat="1" ht="14.25">
      <c r="AB47" s="136" t="s">
        <v>796</v>
      </c>
      <c r="AR47" s="136" t="s">
        <v>796</v>
      </c>
    </row>
    <row r="48" spans="1:48" s="131" customFormat="1" ht="14.25">
      <c r="AB48" s="136" t="s">
        <v>797</v>
      </c>
      <c r="AR48" s="136" t="s">
        <v>797</v>
      </c>
    </row>
    <row r="49" spans="28:44" s="131" customFormat="1" ht="14.25">
      <c r="AB49" s="136" t="s">
        <v>798</v>
      </c>
      <c r="AR49" s="136" t="s">
        <v>798</v>
      </c>
    </row>
    <row r="50" spans="28:44" s="131" customFormat="1" ht="14.25">
      <c r="AB50" s="136" t="s">
        <v>799</v>
      </c>
      <c r="AR50" s="136" t="s">
        <v>799</v>
      </c>
    </row>
    <row r="51" spans="28:44" s="131" customFormat="1" ht="14.25">
      <c r="AB51" s="136" t="s">
        <v>800</v>
      </c>
      <c r="AR51" s="136" t="s">
        <v>800</v>
      </c>
    </row>
    <row r="52" spans="28:44" s="131" customFormat="1" ht="14.25">
      <c r="AB52" s="136" t="s">
        <v>801</v>
      </c>
      <c r="AR52" s="136" t="s">
        <v>801</v>
      </c>
    </row>
    <row r="53" spans="28:44" s="131" customFormat="1" ht="14.25">
      <c r="AB53" s="136" t="s">
        <v>802</v>
      </c>
      <c r="AR53" s="136" t="s">
        <v>802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m2KAdfbRXzhB34nxYCen6JB3rFzBg54aqEz2guJAyP3ku82vUr2yhH0OKFT3LZIhtwrNjVUEPpcrx71SZtZccQ==" saltValue="9kNRlaghPbbRy1X99gfmsQ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2" t="s">
        <v>356</v>
      </c>
      <c r="B21" s="433"/>
      <c r="C21" s="424" t="s">
        <v>241</v>
      </c>
      <c r="D21" s="425"/>
      <c r="E21" s="425"/>
      <c r="F21" s="425"/>
      <c r="G21" s="425"/>
      <c r="H21" s="425"/>
      <c r="I21" s="424" t="s">
        <v>242</v>
      </c>
      <c r="J21" s="425"/>
      <c r="K21" s="425"/>
      <c r="L21" s="425"/>
      <c r="M21" s="426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2" t="s">
        <v>357</v>
      </c>
      <c r="B27" s="433"/>
      <c r="C27" s="424" t="s">
        <v>241</v>
      </c>
      <c r="D27" s="425"/>
      <c r="E27" s="425"/>
      <c r="F27" s="425"/>
      <c r="G27" s="425"/>
      <c r="H27" s="426"/>
      <c r="I27" s="424" t="s">
        <v>242</v>
      </c>
      <c r="J27" s="425"/>
      <c r="K27" s="425"/>
      <c r="L27" s="425"/>
      <c r="M27" s="426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2" t="s">
        <v>245</v>
      </c>
      <c r="B33" s="433"/>
      <c r="C33" s="424" t="s">
        <v>241</v>
      </c>
      <c r="D33" s="425"/>
      <c r="E33" s="425"/>
      <c r="F33" s="425"/>
      <c r="G33" s="425"/>
      <c r="H33" s="426"/>
      <c r="I33" s="424" t="s">
        <v>242</v>
      </c>
      <c r="J33" s="425"/>
      <c r="K33" s="425"/>
      <c r="L33" s="425"/>
      <c r="M33" s="426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30" t="s">
        <v>246</v>
      </c>
      <c r="B39" s="431"/>
      <c r="C39" s="427" t="s">
        <v>241</v>
      </c>
      <c r="D39" s="425"/>
      <c r="E39" s="425"/>
      <c r="F39" s="425"/>
      <c r="G39" s="425"/>
      <c r="H39" s="426"/>
      <c r="I39" s="424" t="s">
        <v>242</v>
      </c>
      <c r="J39" s="425"/>
      <c r="K39" s="425"/>
      <c r="L39" s="425"/>
      <c r="M39" s="426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wasQBGqwn8jOxv4AWCI1DEesV1kylyWuhqay9cHQuQTGJdfwGdifh5AUHfLBSJpA1e7XrUZxnNGGQo6fRRYKDQ==" saltValue="IZPdVcfsFv2KAnF3xOzkrQ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workbookViewId="0">
      <selection activeCell="B3" sqref="B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1570</v>
      </c>
      <c r="B2" s="13" t="s">
        <v>1569</v>
      </c>
    </row>
    <row r="3" spans="1:17">
      <c r="A3" s="389" t="s">
        <v>1756</v>
      </c>
      <c r="B3" s="389" t="s">
        <v>1760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1628</v>
      </c>
    </row>
    <row r="14" spans="1:17">
      <c r="A14" s="13" t="s">
        <v>461</v>
      </c>
      <c r="B14" s="13" t="s">
        <v>1594</v>
      </c>
      <c r="C14" s="13" t="s">
        <v>462</v>
      </c>
      <c r="D14" s="13" t="s">
        <v>1639</v>
      </c>
      <c r="E14" s="13" t="s">
        <v>462</v>
      </c>
      <c r="F14" s="13" t="s">
        <v>1639</v>
      </c>
      <c r="G14" s="13" t="s">
        <v>462</v>
      </c>
      <c r="H14" s="13" t="s">
        <v>1639</v>
      </c>
      <c r="I14" s="13" t="s">
        <v>462</v>
      </c>
      <c r="J14" s="13" t="s">
        <v>1639</v>
      </c>
      <c r="K14" s="13" t="s">
        <v>462</v>
      </c>
      <c r="L14" s="13" t="s">
        <v>1639</v>
      </c>
      <c r="M14" s="13" t="s">
        <v>462</v>
      </c>
      <c r="N14" s="13" t="s">
        <v>1639</v>
      </c>
      <c r="O14" s="13" t="s">
        <v>462</v>
      </c>
      <c r="P14" s="13" t="s">
        <v>1639</v>
      </c>
      <c r="Q14" s="13" t="s">
        <v>462</v>
      </c>
    </row>
    <row r="15" spans="1:17">
      <c r="A15" t="s">
        <v>1595</v>
      </c>
      <c r="B15">
        <v>5</v>
      </c>
      <c r="C15" t="s">
        <v>1596</v>
      </c>
      <c r="D15">
        <v>0</v>
      </c>
      <c r="E15" t="s">
        <v>83</v>
      </c>
      <c r="F15">
        <v>0</v>
      </c>
      <c r="G15" t="s">
        <v>1597</v>
      </c>
      <c r="H15">
        <v>1</v>
      </c>
      <c r="I15" t="s">
        <v>1598</v>
      </c>
      <c r="J15">
        <v>0</v>
      </c>
      <c r="K15" t="s">
        <v>1599</v>
      </c>
      <c r="L15">
        <v>0</v>
      </c>
    </row>
    <row r="16" spans="1:17">
      <c r="A16" t="s">
        <v>1600</v>
      </c>
      <c r="B16">
        <v>1</v>
      </c>
      <c r="C16" t="s">
        <v>1601</v>
      </c>
      <c r="D16">
        <v>1</v>
      </c>
    </row>
    <row r="17" spans="1:14">
      <c r="A17" t="s">
        <v>1602</v>
      </c>
      <c r="B17">
        <v>1</v>
      </c>
      <c r="C17" t="s">
        <v>1603</v>
      </c>
      <c r="D17">
        <v>1</v>
      </c>
    </row>
    <row r="18" spans="1:14">
      <c r="A18" t="s">
        <v>1604</v>
      </c>
      <c r="B18">
        <v>1</v>
      </c>
      <c r="C18" t="s">
        <v>1605</v>
      </c>
      <c r="D18">
        <v>1</v>
      </c>
    </row>
    <row r="19" spans="1:14">
      <c r="A19" t="s">
        <v>1606</v>
      </c>
      <c r="B19">
        <v>4</v>
      </c>
      <c r="C19" t="s">
        <v>1607</v>
      </c>
      <c r="D19">
        <v>0</v>
      </c>
      <c r="E19" t="s">
        <v>1608</v>
      </c>
      <c r="F19">
        <v>0</v>
      </c>
      <c r="G19" t="s">
        <v>1597</v>
      </c>
      <c r="H19">
        <v>1</v>
      </c>
      <c r="I19" t="s">
        <v>1609</v>
      </c>
      <c r="J19">
        <v>1</v>
      </c>
    </row>
    <row r="20" spans="1:14">
      <c r="A20" t="s">
        <v>1610</v>
      </c>
      <c r="B20">
        <v>6</v>
      </c>
      <c r="C20" t="s">
        <v>1611</v>
      </c>
      <c r="D20">
        <v>1</v>
      </c>
      <c r="E20" t="s">
        <v>1612</v>
      </c>
      <c r="F20">
        <v>1</v>
      </c>
      <c r="G20" t="s">
        <v>1613</v>
      </c>
      <c r="H20">
        <v>1</v>
      </c>
      <c r="I20" t="s">
        <v>1597</v>
      </c>
      <c r="J20">
        <v>1</v>
      </c>
      <c r="K20" t="s">
        <v>1614</v>
      </c>
      <c r="L20">
        <v>1</v>
      </c>
      <c r="M20" t="s">
        <v>1615</v>
      </c>
      <c r="N20">
        <v>1</v>
      </c>
    </row>
    <row r="21" spans="1:14">
      <c r="A21" t="s">
        <v>1616</v>
      </c>
      <c r="B21">
        <v>2</v>
      </c>
      <c r="C21" t="s">
        <v>1617</v>
      </c>
      <c r="D21">
        <v>0</v>
      </c>
      <c r="E21" t="s">
        <v>1618</v>
      </c>
      <c r="F21">
        <v>1</v>
      </c>
    </row>
    <row r="22" spans="1:14">
      <c r="A22" t="s">
        <v>1619</v>
      </c>
      <c r="B22">
        <v>3</v>
      </c>
      <c r="C22" t="s">
        <v>1620</v>
      </c>
      <c r="D22">
        <v>0</v>
      </c>
      <c r="E22" t="s">
        <v>1621</v>
      </c>
      <c r="F22">
        <v>1</v>
      </c>
      <c r="G22" t="s">
        <v>1622</v>
      </c>
      <c r="H22">
        <v>1</v>
      </c>
    </row>
    <row r="23" spans="1:14">
      <c r="A23" t="s">
        <v>1623</v>
      </c>
      <c r="B23">
        <v>4</v>
      </c>
      <c r="C23" t="s">
        <v>1624</v>
      </c>
      <c r="D23">
        <v>0</v>
      </c>
      <c r="E23" t="s">
        <v>1597</v>
      </c>
      <c r="F23">
        <v>1</v>
      </c>
      <c r="G23" t="s">
        <v>1609</v>
      </c>
      <c r="H23">
        <v>1</v>
      </c>
      <c r="I23" t="s">
        <v>1615</v>
      </c>
      <c r="J23">
        <v>1</v>
      </c>
    </row>
    <row r="24" spans="1:14">
      <c r="A24" t="s">
        <v>1625</v>
      </c>
      <c r="B24">
        <v>4</v>
      </c>
      <c r="C24" t="s">
        <v>1626</v>
      </c>
      <c r="D24">
        <v>0</v>
      </c>
      <c r="E24" t="s">
        <v>1597</v>
      </c>
      <c r="F24">
        <v>1</v>
      </c>
      <c r="G24" t="s">
        <v>1627</v>
      </c>
      <c r="H24">
        <v>1</v>
      </c>
      <c r="I24" t="s">
        <v>1615</v>
      </c>
      <c r="J24">
        <v>1</v>
      </c>
    </row>
    <row r="26" spans="1:14">
      <c r="A26" s="13" t="s">
        <v>1640</v>
      </c>
    </row>
    <row r="27" spans="1:14">
      <c r="A27" s="13" t="s">
        <v>461</v>
      </c>
      <c r="B27" s="13" t="s">
        <v>462</v>
      </c>
      <c r="C27" s="13" t="s">
        <v>1641</v>
      </c>
      <c r="D27" s="13" t="s">
        <v>1641</v>
      </c>
      <c r="E27" s="13" t="s">
        <v>1641</v>
      </c>
      <c r="F27" s="13" t="s">
        <v>1641</v>
      </c>
      <c r="G27" s="13" t="s">
        <v>1641</v>
      </c>
    </row>
    <row r="28" spans="1:14">
      <c r="A28" t="s">
        <v>1581</v>
      </c>
      <c r="B28" t="s">
        <v>20</v>
      </c>
      <c r="C28" t="s">
        <v>1644</v>
      </c>
    </row>
    <row r="29" spans="1:14">
      <c r="A29" t="s">
        <v>1610</v>
      </c>
      <c r="B29" t="s">
        <v>20</v>
      </c>
      <c r="C29" t="s">
        <v>1644</v>
      </c>
    </row>
    <row r="30" spans="1:14">
      <c r="A30" t="s">
        <v>1623</v>
      </c>
      <c r="B30" t="s">
        <v>20</v>
      </c>
      <c r="C30" t="s">
        <v>1644</v>
      </c>
    </row>
    <row r="31" spans="1:14">
      <c r="A31" t="s">
        <v>1625</v>
      </c>
      <c r="B31" t="s">
        <v>20</v>
      </c>
      <c r="C31" t="s">
        <v>1644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1198</v>
      </c>
      <c r="B45" t="s">
        <v>1199</v>
      </c>
    </row>
    <row r="46" spans="1:4">
      <c r="A46" t="s">
        <v>1198</v>
      </c>
      <c r="B46" t="s">
        <v>478</v>
      </c>
    </row>
    <row r="47" spans="1:4">
      <c r="A47" t="s">
        <v>1198</v>
      </c>
      <c r="B47" t="s">
        <v>1200</v>
      </c>
    </row>
    <row r="48" spans="1:4">
      <c r="A48" t="s">
        <v>1198</v>
      </c>
      <c r="B48" t="s">
        <v>476</v>
      </c>
    </row>
    <row r="49" spans="1:2">
      <c r="A49" t="s">
        <v>1198</v>
      </c>
      <c r="B49" t="s">
        <v>1201</v>
      </c>
    </row>
    <row r="50" spans="1:2">
      <c r="A50" t="s">
        <v>1524</v>
      </c>
      <c r="B50" t="s">
        <v>476</v>
      </c>
    </row>
    <row r="51" spans="1:2">
      <c r="A51" t="s">
        <v>1528</v>
      </c>
      <c r="B51" t="s">
        <v>478</v>
      </c>
    </row>
    <row r="52" spans="1:2">
      <c r="A52" t="s">
        <v>1528</v>
      </c>
      <c r="B52" t="s">
        <v>1491</v>
      </c>
    </row>
    <row r="53" spans="1:2">
      <c r="A53" t="s">
        <v>1528</v>
      </c>
      <c r="B53" t="s">
        <v>1529</v>
      </c>
    </row>
    <row r="54" spans="1:2">
      <c r="A54" t="s">
        <v>1528</v>
      </c>
      <c r="B54" t="s">
        <v>476</v>
      </c>
    </row>
    <row r="55" spans="1:2">
      <c r="A55" t="s">
        <v>1530</v>
      </c>
      <c r="B55" t="s">
        <v>1499</v>
      </c>
    </row>
    <row r="56" spans="1:2">
      <c r="A56" t="s">
        <v>1530</v>
      </c>
      <c r="B56" t="s">
        <v>1531</v>
      </c>
    </row>
    <row r="57" spans="1:2">
      <c r="A57" t="s">
        <v>1530</v>
      </c>
      <c r="B57" t="s">
        <v>478</v>
      </c>
    </row>
    <row r="58" spans="1:2">
      <c r="A58" t="s">
        <v>1530</v>
      </c>
      <c r="B58" t="s">
        <v>479</v>
      </c>
    </row>
    <row r="59" spans="1:2">
      <c r="A59" t="s">
        <v>1530</v>
      </c>
      <c r="B59" t="s">
        <v>476</v>
      </c>
    </row>
    <row r="60" spans="1:2">
      <c r="A60" t="s">
        <v>1198</v>
      </c>
      <c r="B60" t="s">
        <v>1685</v>
      </c>
    </row>
    <row r="61" spans="1:2">
      <c r="A61" s="389" t="s">
        <v>865</v>
      </c>
      <c r="B61" s="389" t="s">
        <v>1685</v>
      </c>
    </row>
    <row r="62" spans="1:2">
      <c r="A62" s="389" t="s">
        <v>1687</v>
      </c>
      <c r="B62" s="389" t="s">
        <v>1685</v>
      </c>
    </row>
    <row r="63" spans="1:2">
      <c r="A63" s="389" t="s">
        <v>1688</v>
      </c>
      <c r="B63" s="389" t="s">
        <v>1685</v>
      </c>
    </row>
    <row r="64" spans="1:2">
      <c r="A64" s="389" t="s">
        <v>1689</v>
      </c>
      <c r="B64" s="389" t="s">
        <v>1685</v>
      </c>
    </row>
    <row r="65" spans="1:3">
      <c r="A65" s="389" t="s">
        <v>890</v>
      </c>
      <c r="B65" s="389" t="s">
        <v>1685</v>
      </c>
    </row>
    <row r="66" spans="1:3">
      <c r="A66" s="389" t="s">
        <v>1524</v>
      </c>
      <c r="B66" s="389" t="s">
        <v>1685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1148</v>
      </c>
      <c r="C150" s="4" t="s">
        <v>1149</v>
      </c>
    </row>
    <row r="151" spans="1:3">
      <c r="A151" t="s">
        <v>478</v>
      </c>
      <c r="B151" t="s">
        <v>1150</v>
      </c>
      <c r="C151" s="4" t="s">
        <v>482</v>
      </c>
    </row>
    <row r="152" spans="1:3">
      <c r="A152" t="s">
        <v>478</v>
      </c>
      <c r="B152" t="s">
        <v>1151</v>
      </c>
      <c r="C152" s="4" t="s">
        <v>482</v>
      </c>
    </row>
    <row r="153" spans="1:3">
      <c r="A153" t="s">
        <v>478</v>
      </c>
      <c r="B153" t="s">
        <v>1152</v>
      </c>
      <c r="C153" s="4" t="s">
        <v>1149</v>
      </c>
    </row>
    <row r="154" spans="1:3">
      <c r="A154" t="s">
        <v>478</v>
      </c>
      <c r="B154" t="s">
        <v>1153</v>
      </c>
      <c r="C154" s="4" t="s">
        <v>482</v>
      </c>
    </row>
    <row r="155" spans="1:3">
      <c r="A155" t="s">
        <v>478</v>
      </c>
      <c r="B155" t="s">
        <v>1154</v>
      </c>
      <c r="C155" s="4" t="s">
        <v>482</v>
      </c>
    </row>
    <row r="156" spans="1:3">
      <c r="A156" t="s">
        <v>478</v>
      </c>
      <c r="B156" t="s">
        <v>1155</v>
      </c>
      <c r="C156" s="4" t="s">
        <v>1149</v>
      </c>
    </row>
    <row r="157" spans="1:3">
      <c r="A157" t="s">
        <v>478</v>
      </c>
      <c r="B157" t="s">
        <v>1156</v>
      </c>
      <c r="C157" s="4" t="s">
        <v>482</v>
      </c>
    </row>
    <row r="158" spans="1:3">
      <c r="A158" t="s">
        <v>478</v>
      </c>
      <c r="B158" t="s">
        <v>1157</v>
      </c>
      <c r="C158" s="4" t="s">
        <v>482</v>
      </c>
    </row>
    <row r="159" spans="1:3">
      <c r="A159" t="s">
        <v>478</v>
      </c>
      <c r="B159" t="s">
        <v>1158</v>
      </c>
      <c r="C159" s="4" t="s">
        <v>1149</v>
      </c>
    </row>
    <row r="160" spans="1:3">
      <c r="A160" t="s">
        <v>478</v>
      </c>
      <c r="B160" t="s">
        <v>1159</v>
      </c>
      <c r="C160" s="4" t="s">
        <v>482</v>
      </c>
    </row>
    <row r="161" spans="1:3">
      <c r="A161" t="s">
        <v>478</v>
      </c>
      <c r="B161" t="s">
        <v>1160</v>
      </c>
      <c r="C161" s="4" t="s">
        <v>482</v>
      </c>
    </row>
    <row r="162" spans="1:3">
      <c r="A162" t="s">
        <v>478</v>
      </c>
      <c r="B162" t="s">
        <v>1161</v>
      </c>
      <c r="C162" s="4" t="s">
        <v>1149</v>
      </c>
    </row>
    <row r="163" spans="1:3">
      <c r="A163" t="s">
        <v>478</v>
      </c>
      <c r="B163" t="s">
        <v>1162</v>
      </c>
      <c r="C163" s="4" t="s">
        <v>482</v>
      </c>
    </row>
    <row r="164" spans="1:3">
      <c r="A164" t="s">
        <v>478</v>
      </c>
      <c r="B164" t="s">
        <v>1163</v>
      </c>
      <c r="C164" s="4" t="s">
        <v>482</v>
      </c>
    </row>
    <row r="165" spans="1:3" ht="30">
      <c r="A165" t="s">
        <v>929</v>
      </c>
      <c r="B165" t="s">
        <v>932</v>
      </c>
      <c r="C165" s="109" t="s">
        <v>957</v>
      </c>
    </row>
    <row r="166" spans="1:3">
      <c r="A166" t="s">
        <v>929</v>
      </c>
      <c r="B166" t="s">
        <v>933</v>
      </c>
      <c r="C166" s="108">
        <v>2</v>
      </c>
    </row>
    <row r="167" spans="1:3">
      <c r="A167" t="s">
        <v>929</v>
      </c>
      <c r="B167" t="s">
        <v>930</v>
      </c>
      <c r="C167" s="107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8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8">
        <v>0</v>
      </c>
    </row>
    <row r="187" spans="1:3">
      <c r="A187" t="s">
        <v>1004</v>
      </c>
      <c r="B187" t="s">
        <v>964</v>
      </c>
      <c r="C187" s="108">
        <v>0</v>
      </c>
    </row>
    <row r="188" spans="1:3">
      <c r="A188" t="s">
        <v>1004</v>
      </c>
      <c r="B188" t="s">
        <v>965</v>
      </c>
      <c r="C188" s="108" t="s">
        <v>931</v>
      </c>
    </row>
    <row r="189" spans="1:3">
      <c r="A189" t="s">
        <v>1004</v>
      </c>
      <c r="B189" t="s">
        <v>966</v>
      </c>
      <c r="C189" s="108" t="s">
        <v>940</v>
      </c>
    </row>
    <row r="190" spans="1:3">
      <c r="A190" t="s">
        <v>1004</v>
      </c>
      <c r="B190" t="s">
        <v>967</v>
      </c>
      <c r="C190" s="108" t="s">
        <v>940</v>
      </c>
    </row>
    <row r="191" spans="1:3">
      <c r="A191" t="s">
        <v>1004</v>
      </c>
      <c r="B191" t="s">
        <v>968</v>
      </c>
      <c r="C191" s="108" t="s">
        <v>940</v>
      </c>
    </row>
    <row r="192" spans="1:3">
      <c r="A192" t="s">
        <v>1004</v>
      </c>
      <c r="B192" t="s">
        <v>969</v>
      </c>
      <c r="C192" s="108" t="s">
        <v>940</v>
      </c>
    </row>
    <row r="193" spans="1:3">
      <c r="A193" t="s">
        <v>1004</v>
      </c>
      <c r="B193" t="s">
        <v>970</v>
      </c>
      <c r="C193" s="108" t="s">
        <v>940</v>
      </c>
    </row>
    <row r="194" spans="1:3">
      <c r="A194" t="s">
        <v>1004</v>
      </c>
      <c r="B194" t="s">
        <v>971</v>
      </c>
      <c r="C194" s="108" t="s">
        <v>940</v>
      </c>
    </row>
    <row r="195" spans="1:3">
      <c r="A195" t="s">
        <v>1004</v>
      </c>
      <c r="B195" t="s">
        <v>972</v>
      </c>
      <c r="C195" s="108" t="s">
        <v>940</v>
      </c>
    </row>
    <row r="196" spans="1:3">
      <c r="A196" t="s">
        <v>1004</v>
      </c>
      <c r="B196" t="s">
        <v>973</v>
      </c>
      <c r="C196" s="108" t="s">
        <v>940</v>
      </c>
    </row>
    <row r="197" spans="1:3">
      <c r="A197" t="s">
        <v>1004</v>
      </c>
      <c r="B197" t="s">
        <v>974</v>
      </c>
      <c r="C197" s="108" t="s">
        <v>951</v>
      </c>
    </row>
    <row r="198" spans="1:3">
      <c r="A198" t="s">
        <v>1004</v>
      </c>
      <c r="B198" t="s">
        <v>975</v>
      </c>
      <c r="C198" s="108" t="s">
        <v>951</v>
      </c>
    </row>
    <row r="199" spans="1:3">
      <c r="A199" t="s">
        <v>1004</v>
      </c>
      <c r="B199" t="s">
        <v>976</v>
      </c>
      <c r="C199" s="108" t="s">
        <v>951</v>
      </c>
    </row>
    <row r="200" spans="1:3">
      <c r="A200" t="s">
        <v>1004</v>
      </c>
      <c r="B200" t="s">
        <v>977</v>
      </c>
      <c r="C200" s="108" t="s">
        <v>951</v>
      </c>
    </row>
    <row r="201" spans="1:3">
      <c r="A201" t="s">
        <v>1004</v>
      </c>
      <c r="B201" t="s">
        <v>978</v>
      </c>
      <c r="C201" s="108" t="s">
        <v>951</v>
      </c>
    </row>
    <row r="202" spans="1:3">
      <c r="A202" t="s">
        <v>1004</v>
      </c>
      <c r="B202" t="s">
        <v>979</v>
      </c>
      <c r="C202" s="108" t="s">
        <v>886</v>
      </c>
    </row>
    <row r="203" spans="1:3">
      <c r="A203" t="s">
        <v>1004</v>
      </c>
      <c r="B203" t="s">
        <v>980</v>
      </c>
      <c r="C203" s="108" t="s">
        <v>887</v>
      </c>
    </row>
    <row r="204" spans="1:3">
      <c r="A204" t="s">
        <v>1004</v>
      </c>
      <c r="B204" t="s">
        <v>981</v>
      </c>
      <c r="C204" s="108" t="s">
        <v>1003</v>
      </c>
    </row>
    <row r="205" spans="1:3">
      <c r="A205" t="s">
        <v>1004</v>
      </c>
      <c r="B205" t="s">
        <v>982</v>
      </c>
      <c r="C205" s="108" t="s">
        <v>886</v>
      </c>
    </row>
    <row r="206" spans="1:3">
      <c r="A206" t="s">
        <v>1004</v>
      </c>
      <c r="B206" t="s">
        <v>983</v>
      </c>
      <c r="C206" s="108" t="s">
        <v>887</v>
      </c>
    </row>
    <row r="207" spans="1:3">
      <c r="A207" t="s">
        <v>1004</v>
      </c>
      <c r="B207" t="s">
        <v>984</v>
      </c>
      <c r="C207" s="108" t="s">
        <v>1003</v>
      </c>
    </row>
    <row r="208" spans="1:3">
      <c r="A208" t="s">
        <v>1004</v>
      </c>
      <c r="B208" t="s">
        <v>985</v>
      </c>
      <c r="C208" s="108" t="s">
        <v>886</v>
      </c>
    </row>
    <row r="209" spans="1:3">
      <c r="A209" t="s">
        <v>1004</v>
      </c>
      <c r="B209" t="s">
        <v>986</v>
      </c>
      <c r="C209" s="108" t="s">
        <v>887</v>
      </c>
    </row>
    <row r="210" spans="1:3">
      <c r="A210" t="s">
        <v>1004</v>
      </c>
      <c r="B210" t="s">
        <v>987</v>
      </c>
      <c r="C210" s="108" t="s">
        <v>1003</v>
      </c>
    </row>
    <row r="211" spans="1:3">
      <c r="A211" t="s">
        <v>1004</v>
      </c>
      <c r="B211" t="s">
        <v>988</v>
      </c>
      <c r="C211" s="108" t="s">
        <v>886</v>
      </c>
    </row>
    <row r="212" spans="1:3">
      <c r="A212" t="s">
        <v>1004</v>
      </c>
      <c r="B212" t="s">
        <v>989</v>
      </c>
      <c r="C212" s="108" t="s">
        <v>887</v>
      </c>
    </row>
    <row r="213" spans="1:3">
      <c r="A213" t="s">
        <v>1004</v>
      </c>
      <c r="B213" t="s">
        <v>990</v>
      </c>
      <c r="C213" s="108" t="s">
        <v>1003</v>
      </c>
    </row>
    <row r="214" spans="1:3">
      <c r="A214" t="s">
        <v>1004</v>
      </c>
      <c r="B214" t="s">
        <v>991</v>
      </c>
      <c r="C214" s="108" t="s">
        <v>886</v>
      </c>
    </row>
    <row r="215" spans="1:3">
      <c r="A215" t="s">
        <v>1004</v>
      </c>
      <c r="B215" t="s">
        <v>992</v>
      </c>
      <c r="C215" s="108" t="s">
        <v>887</v>
      </c>
    </row>
    <row r="216" spans="1:3">
      <c r="A216" t="s">
        <v>1004</v>
      </c>
      <c r="B216" t="s">
        <v>993</v>
      </c>
      <c r="C216" s="108" t="s">
        <v>1003</v>
      </c>
    </row>
    <row r="217" spans="1:3">
      <c r="A217" t="s">
        <v>1004</v>
      </c>
      <c r="B217" t="s">
        <v>994</v>
      </c>
      <c r="C217" s="108" t="s">
        <v>886</v>
      </c>
    </row>
    <row r="218" spans="1:3">
      <c r="A218" t="s">
        <v>1004</v>
      </c>
      <c r="B218" t="s">
        <v>995</v>
      </c>
      <c r="C218" s="108" t="s">
        <v>887</v>
      </c>
    </row>
    <row r="219" spans="1:3">
      <c r="A219" t="s">
        <v>1004</v>
      </c>
      <c r="B219" t="s">
        <v>996</v>
      </c>
      <c r="C219" s="108" t="s">
        <v>1003</v>
      </c>
    </row>
    <row r="220" spans="1:3">
      <c r="A220" t="s">
        <v>1004</v>
      </c>
      <c r="B220" t="s">
        <v>997</v>
      </c>
      <c r="C220" s="108" t="s">
        <v>886</v>
      </c>
    </row>
    <row r="221" spans="1:3">
      <c r="A221" t="s">
        <v>1004</v>
      </c>
      <c r="B221" t="s">
        <v>998</v>
      </c>
      <c r="C221" s="108" t="s">
        <v>887</v>
      </c>
    </row>
    <row r="222" spans="1:3">
      <c r="A222" t="s">
        <v>1004</v>
      </c>
      <c r="B222" t="s">
        <v>999</v>
      </c>
      <c r="C222" s="108" t="s">
        <v>1003</v>
      </c>
    </row>
    <row r="223" spans="1:3">
      <c r="A223" t="s">
        <v>1004</v>
      </c>
      <c r="B223" t="s">
        <v>1000</v>
      </c>
      <c r="C223" s="108" t="s">
        <v>886</v>
      </c>
    </row>
    <row r="224" spans="1:3">
      <c r="A224" t="s">
        <v>1004</v>
      </c>
      <c r="B224" t="s">
        <v>1001</v>
      </c>
      <c r="C224" s="108" t="s">
        <v>887</v>
      </c>
    </row>
    <row r="225" spans="1:3">
      <c r="A225" t="s">
        <v>1004</v>
      </c>
      <c r="B225" t="s">
        <v>1002</v>
      </c>
      <c r="C225" s="108" t="s">
        <v>1003</v>
      </c>
    </row>
    <row r="226" spans="1:3">
      <c r="A226" t="s">
        <v>1491</v>
      </c>
      <c r="B226" t="s">
        <v>1492</v>
      </c>
      <c r="C226" s="4" t="s">
        <v>1390</v>
      </c>
    </row>
    <row r="227" spans="1:3">
      <c r="A227" t="s">
        <v>1491</v>
      </c>
      <c r="B227" t="s">
        <v>1493</v>
      </c>
      <c r="C227" s="4" t="s">
        <v>1391</v>
      </c>
    </row>
    <row r="228" spans="1:3">
      <c r="A228" t="s">
        <v>1491</v>
      </c>
      <c r="B228" t="s">
        <v>1494</v>
      </c>
      <c r="C228" s="4" t="s">
        <v>1498</v>
      </c>
    </row>
    <row r="229" spans="1:3">
      <c r="A229" t="s">
        <v>1491</v>
      </c>
      <c r="B229" t="s">
        <v>1495</v>
      </c>
      <c r="C229" s="4" t="s">
        <v>1390</v>
      </c>
    </row>
    <row r="230" spans="1:3">
      <c r="A230" t="s">
        <v>1491</v>
      </c>
      <c r="B230" t="s">
        <v>1496</v>
      </c>
      <c r="C230" t="s">
        <v>1391</v>
      </c>
    </row>
    <row r="231" spans="1:3">
      <c r="A231" t="s">
        <v>1491</v>
      </c>
      <c r="B231" t="s">
        <v>1497</v>
      </c>
      <c r="C231" t="s">
        <v>1498</v>
      </c>
    </row>
    <row r="232" spans="1:3">
      <c r="A232" t="s">
        <v>1499</v>
      </c>
      <c r="B232" t="s">
        <v>1500</v>
      </c>
      <c r="C232" s="108" t="s">
        <v>1390</v>
      </c>
    </row>
    <row r="233" spans="1:3">
      <c r="A233" t="s">
        <v>1499</v>
      </c>
      <c r="B233" t="s">
        <v>1501</v>
      </c>
      <c r="C233" s="108" t="s">
        <v>1391</v>
      </c>
    </row>
    <row r="234" spans="1:3">
      <c r="A234" t="s">
        <v>1499</v>
      </c>
      <c r="B234" t="s">
        <v>1502</v>
      </c>
      <c r="C234" s="108" t="s">
        <v>1498</v>
      </c>
    </row>
    <row r="235" spans="1:3">
      <c r="A235" t="s">
        <v>1499</v>
      </c>
      <c r="B235" t="s">
        <v>1503</v>
      </c>
      <c r="C235" s="108" t="s">
        <v>1390</v>
      </c>
    </row>
    <row r="236" spans="1:3">
      <c r="A236" t="s">
        <v>1499</v>
      </c>
      <c r="B236" t="s">
        <v>1504</v>
      </c>
      <c r="C236" s="108" t="s">
        <v>1391</v>
      </c>
    </row>
    <row r="237" spans="1:3">
      <c r="A237" t="s">
        <v>1499</v>
      </c>
      <c r="B237" t="s">
        <v>1505</v>
      </c>
      <c r="C237" s="108" t="s">
        <v>1498</v>
      </c>
    </row>
    <row r="238" spans="1:3">
      <c r="A238" t="s">
        <v>1499</v>
      </c>
      <c r="B238" t="s">
        <v>1506</v>
      </c>
      <c r="C238" s="108" t="s">
        <v>1390</v>
      </c>
    </row>
    <row r="239" spans="1:3">
      <c r="A239" t="s">
        <v>1499</v>
      </c>
      <c r="B239" t="s">
        <v>1507</v>
      </c>
      <c r="C239" s="108" t="s">
        <v>1391</v>
      </c>
    </row>
    <row r="240" spans="1:3">
      <c r="A240" t="s">
        <v>1499</v>
      </c>
      <c r="B240" t="s">
        <v>1508</v>
      </c>
      <c r="C240" s="108" t="s">
        <v>1498</v>
      </c>
    </row>
    <row r="241" spans="1:3">
      <c r="A241" t="s">
        <v>1499</v>
      </c>
      <c r="B241" t="s">
        <v>1509</v>
      </c>
      <c r="C241" s="108" t="s">
        <v>1390</v>
      </c>
    </row>
    <row r="242" spans="1:3">
      <c r="A242" t="s">
        <v>1499</v>
      </c>
      <c r="B242" t="s">
        <v>1510</v>
      </c>
      <c r="C242" s="108" t="s">
        <v>1391</v>
      </c>
    </row>
    <row r="243" spans="1:3">
      <c r="A243" t="s">
        <v>1499</v>
      </c>
      <c r="B243" t="s">
        <v>1511</v>
      </c>
      <c r="C243" s="108" t="s">
        <v>1498</v>
      </c>
    </row>
    <row r="244" spans="1:3">
      <c r="A244" t="s">
        <v>1499</v>
      </c>
      <c r="B244" t="s">
        <v>1512</v>
      </c>
      <c r="C244" s="108" t="s">
        <v>1390</v>
      </c>
    </row>
    <row r="245" spans="1:3">
      <c r="A245" t="s">
        <v>1499</v>
      </c>
      <c r="B245" t="s">
        <v>1513</v>
      </c>
      <c r="C245" s="108" t="s">
        <v>1391</v>
      </c>
    </row>
    <row r="246" spans="1:3">
      <c r="A246" t="s">
        <v>1499</v>
      </c>
      <c r="B246" t="s">
        <v>1514</v>
      </c>
      <c r="C246" s="108" t="s">
        <v>1498</v>
      </c>
    </row>
    <row r="247" spans="1:3">
      <c r="A247" t="s">
        <v>1499</v>
      </c>
      <c r="B247" t="s">
        <v>1515</v>
      </c>
      <c r="C247" s="108" t="s">
        <v>1390</v>
      </c>
    </row>
    <row r="248" spans="1:3">
      <c r="A248" t="s">
        <v>1499</v>
      </c>
      <c r="B248" t="s">
        <v>1516</v>
      </c>
      <c r="C248" s="108" t="s">
        <v>1391</v>
      </c>
    </row>
    <row r="249" spans="1:3">
      <c r="A249" t="s">
        <v>1499</v>
      </c>
      <c r="B249" t="s">
        <v>1517</v>
      </c>
      <c r="C249" s="108" t="s">
        <v>1498</v>
      </c>
    </row>
    <row r="250" spans="1:3">
      <c r="A250" t="s">
        <v>1499</v>
      </c>
      <c r="B250" t="s">
        <v>1518</v>
      </c>
      <c r="C250" s="108" t="s">
        <v>1390</v>
      </c>
    </row>
    <row r="251" spans="1:3">
      <c r="A251" t="s">
        <v>1499</v>
      </c>
      <c r="B251" t="s">
        <v>1519</v>
      </c>
      <c r="C251" s="108" t="s">
        <v>1391</v>
      </c>
    </row>
    <row r="252" spans="1:3">
      <c r="A252" t="s">
        <v>1499</v>
      </c>
      <c r="B252" t="s">
        <v>1520</v>
      </c>
      <c r="C252" s="108" t="s">
        <v>1498</v>
      </c>
    </row>
    <row r="253" spans="1:3">
      <c r="A253" t="s">
        <v>1499</v>
      </c>
      <c r="B253" t="s">
        <v>1521</v>
      </c>
      <c r="C253" s="108" t="s">
        <v>1390</v>
      </c>
    </row>
    <row r="254" spans="1:3">
      <c r="A254" t="s">
        <v>1499</v>
      </c>
      <c r="B254" t="s">
        <v>1522</v>
      </c>
      <c r="C254" s="108" t="s">
        <v>1391</v>
      </c>
    </row>
    <row r="255" spans="1:3">
      <c r="A255" t="s">
        <v>1499</v>
      </c>
      <c r="B255" t="s">
        <v>1523</v>
      </c>
      <c r="C255" s="108" t="s">
        <v>1498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1690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1691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1690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1691</v>
      </c>
      <c r="C275" s="94" t="s">
        <v>870</v>
      </c>
      <c r="D275" s="11" t="s">
        <v>871</v>
      </c>
    </row>
    <row r="276" spans="1:4" ht="240">
      <c r="A276" s="94" t="s">
        <v>1198</v>
      </c>
      <c r="B276" s="94" t="s">
        <v>1202</v>
      </c>
      <c r="C276" s="94" t="s">
        <v>1203</v>
      </c>
      <c r="D276" s="11" t="s">
        <v>1204</v>
      </c>
    </row>
    <row r="277" spans="1:4" ht="240">
      <c r="A277" s="94" t="s">
        <v>1198</v>
      </c>
      <c r="B277" s="94" t="s">
        <v>1202</v>
      </c>
      <c r="C277" s="94" t="s">
        <v>1205</v>
      </c>
      <c r="D277" s="11" t="s">
        <v>1204</v>
      </c>
    </row>
    <row r="278" spans="1:4" ht="240">
      <c r="A278" s="94" t="s">
        <v>1198</v>
      </c>
      <c r="B278" s="94" t="s">
        <v>1202</v>
      </c>
      <c r="C278" s="94" t="s">
        <v>1206</v>
      </c>
      <c r="D278" s="11" t="s">
        <v>1204</v>
      </c>
    </row>
    <row r="279" spans="1:4" ht="240">
      <c r="A279" s="94" t="s">
        <v>1198</v>
      </c>
      <c r="B279" s="94" t="s">
        <v>1202</v>
      </c>
      <c r="C279" s="94" t="s">
        <v>1207</v>
      </c>
      <c r="D279" s="11" t="s">
        <v>1204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1524</v>
      </c>
      <c r="B296" s="155" t="s">
        <v>1525</v>
      </c>
      <c r="C296" s="155" t="s">
        <v>1526</v>
      </c>
      <c r="D296" s="11" t="s">
        <v>1527</v>
      </c>
    </row>
    <row r="308" spans="1:2">
      <c r="A308" s="13" t="s">
        <v>1649</v>
      </c>
    </row>
    <row r="309" spans="1:2">
      <c r="A309" s="13" t="s">
        <v>474</v>
      </c>
      <c r="B309" s="13" t="s">
        <v>1648</v>
      </c>
    </row>
    <row r="310" spans="1:2" ht="150">
      <c r="A310" t="s">
        <v>1491</v>
      </c>
      <c r="B310" s="11" t="s">
        <v>1650</v>
      </c>
    </row>
    <row r="322" spans="1:4">
      <c r="A322" s="94"/>
      <c r="B322" s="164"/>
      <c r="C322" s="94"/>
      <c r="D322" s="11"/>
    </row>
  </sheetData>
  <sheetProtection algorithmName="SHA-512" hashValue="OJCn10AUZf7RQNM93QbuljdLxHd7QEnVoEb0fFTu4iitYHIhyjMNnGa0daTUBPLdUfX1LcNZu+2yzgEnvh8OAg==" saltValue="97M0YrSb3geXBTbxw0yGZQ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1573</v>
      </c>
    </row>
    <row r="3" spans="1:23">
      <c r="B3" s="161" t="s">
        <v>1571</v>
      </c>
      <c r="C3" s="161" t="s">
        <v>1574</v>
      </c>
      <c r="D3" s="161" t="s">
        <v>1575</v>
      </c>
      <c r="E3" s="161" t="s">
        <v>1572</v>
      </c>
    </row>
    <row r="4" spans="1:23" s="389" customFormat="1">
      <c r="A4" s="158"/>
      <c r="B4" s="392" t="s">
        <v>1756</v>
      </c>
      <c r="C4" s="409">
        <v>43136</v>
      </c>
      <c r="D4" s="410" t="s">
        <v>1757</v>
      </c>
      <c r="E4" s="410" t="s">
        <v>1758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1696</v>
      </c>
      <c r="C5" s="393">
        <v>43088</v>
      </c>
      <c r="D5" s="160" t="s">
        <v>1683</v>
      </c>
      <c r="E5" s="160" t="s">
        <v>1697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1695</v>
      </c>
      <c r="C6" s="395">
        <v>43077</v>
      </c>
      <c r="D6" s="159" t="s">
        <v>1661</v>
      </c>
      <c r="E6" s="394" t="s">
        <v>1694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1686</v>
      </c>
      <c r="C7" s="393">
        <v>43068</v>
      </c>
      <c r="D7" s="394" t="s">
        <v>1692</v>
      </c>
      <c r="E7" s="394" t="s">
        <v>1693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1681</v>
      </c>
      <c r="C8" s="392" t="s">
        <v>1682</v>
      </c>
      <c r="D8" s="160" t="s">
        <v>1683</v>
      </c>
      <c r="E8" s="160" t="s">
        <v>1684</v>
      </c>
    </row>
    <row r="9" spans="1:23">
      <c r="B9" s="449" t="s">
        <v>1653</v>
      </c>
      <c r="C9" s="452" t="s">
        <v>1663</v>
      </c>
      <c r="D9" s="159" t="s">
        <v>1654</v>
      </c>
      <c r="E9" s="159" t="s">
        <v>1665</v>
      </c>
    </row>
    <row r="10" spans="1:23">
      <c r="B10" s="450"/>
      <c r="C10" s="453"/>
      <c r="D10" s="159" t="s">
        <v>1660</v>
      </c>
      <c r="E10" s="159" t="s">
        <v>1662</v>
      </c>
    </row>
    <row r="11" spans="1:23">
      <c r="B11" s="450"/>
      <c r="C11" s="453"/>
      <c r="D11" s="159" t="s">
        <v>1661</v>
      </c>
      <c r="E11" s="159" t="s">
        <v>1662</v>
      </c>
    </row>
    <row r="12" spans="1:23">
      <c r="B12" s="450"/>
      <c r="C12" s="453"/>
      <c r="D12" s="159" t="s">
        <v>1655</v>
      </c>
      <c r="E12" s="159" t="s">
        <v>1659</v>
      </c>
    </row>
    <row r="13" spans="1:23">
      <c r="B13" s="450"/>
      <c r="C13" s="453"/>
      <c r="D13" s="159" t="s">
        <v>1656</v>
      </c>
      <c r="E13" s="159" t="s">
        <v>1659</v>
      </c>
    </row>
    <row r="14" spans="1:23">
      <c r="B14" s="450"/>
      <c r="C14" s="453"/>
      <c r="D14" s="159" t="s">
        <v>1657</v>
      </c>
      <c r="E14" s="159" t="s">
        <v>1659</v>
      </c>
    </row>
    <row r="15" spans="1:23">
      <c r="B15" s="451"/>
      <c r="C15" s="454"/>
      <c r="D15" s="159" t="s">
        <v>1658</v>
      </c>
      <c r="E15" s="159" t="s">
        <v>1659</v>
      </c>
    </row>
    <row r="16" spans="1:23">
      <c r="B16" s="160" t="s">
        <v>1591</v>
      </c>
      <c r="D16" s="159" t="s">
        <v>1592</v>
      </c>
      <c r="E16" s="159" t="s">
        <v>1593</v>
      </c>
    </row>
    <row r="17" spans="2:5">
      <c r="B17" s="160" t="s">
        <v>1588</v>
      </c>
      <c r="C17" s="159" t="s">
        <v>1587</v>
      </c>
      <c r="D17" s="159" t="s">
        <v>1590</v>
      </c>
      <c r="E17" s="159" t="s">
        <v>1593</v>
      </c>
    </row>
    <row r="18" spans="2:5">
      <c r="B18" s="165" t="s">
        <v>1589</v>
      </c>
      <c r="C18" s="165" t="s">
        <v>1585</v>
      </c>
      <c r="D18" s="159" t="s">
        <v>1583</v>
      </c>
      <c r="E18" s="159" t="s">
        <v>1586</v>
      </c>
    </row>
    <row r="19" spans="2:5">
      <c r="B19" s="443" t="s">
        <v>1576</v>
      </c>
      <c r="C19" s="446" t="s">
        <v>1584</v>
      </c>
      <c r="D19" s="159" t="s">
        <v>1577</v>
      </c>
      <c r="E19" s="159" t="s">
        <v>1593</v>
      </c>
    </row>
    <row r="20" spans="2:5">
      <c r="B20" s="444"/>
      <c r="C20" s="447"/>
      <c r="D20" s="159" t="s">
        <v>1578</v>
      </c>
      <c r="E20" s="159" t="s">
        <v>1593</v>
      </c>
    </row>
    <row r="21" spans="2:5">
      <c r="B21" s="444"/>
      <c r="C21" s="447"/>
      <c r="D21" s="159" t="s">
        <v>1579</v>
      </c>
      <c r="E21" s="159" t="s">
        <v>1593</v>
      </c>
    </row>
    <row r="22" spans="2:5">
      <c r="B22" s="444"/>
      <c r="C22" s="447"/>
      <c r="D22" s="159" t="s">
        <v>1580</v>
      </c>
      <c r="E22" s="159" t="s">
        <v>1593</v>
      </c>
    </row>
    <row r="23" spans="2:5">
      <c r="B23" s="444"/>
      <c r="C23" s="447"/>
      <c r="D23" s="159" t="s">
        <v>1581</v>
      </c>
      <c r="E23" s="159" t="s">
        <v>1593</v>
      </c>
    </row>
    <row r="24" spans="2:5">
      <c r="B24" s="444"/>
      <c r="C24" s="447"/>
      <c r="D24" s="159" t="s">
        <v>1582</v>
      </c>
      <c r="E24" s="159" t="s">
        <v>1593</v>
      </c>
    </row>
    <row r="25" spans="2:5">
      <c r="B25" s="445"/>
      <c r="C25" s="448"/>
      <c r="D25" s="159" t="s">
        <v>1583</v>
      </c>
      <c r="E25" s="159" t="s">
        <v>1593</v>
      </c>
    </row>
  </sheetData>
  <sheetProtection algorithmName="SHA-512" hashValue="0n/ds55+6qv+xEKBJ7OmkbDV1PUeev5uNiHmVEXtSq06QZsVpRML927P0oNp5QNsKg1IEUfT7w8dyinQdcjXXQ==" saltValue="Jl3NPYUzcBGbfNO87uw6UA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Nian-Rong Li (李念容)</cp:lastModifiedBy>
  <dcterms:created xsi:type="dcterms:W3CDTF">2006-09-16T00:00:00Z</dcterms:created>
  <dcterms:modified xsi:type="dcterms:W3CDTF">2018-06-05T08:51:40Z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
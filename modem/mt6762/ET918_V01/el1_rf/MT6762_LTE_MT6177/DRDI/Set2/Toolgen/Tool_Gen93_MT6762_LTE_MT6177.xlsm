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2_LTE_MT6177\DRDI\Set2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<sst xmlns="http://schemas.openxmlformats.org/spreadsheetml/2006/main" count="8177" uniqueCount="1783">
  <si>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</si>
  <si>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</si>
  <si>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</si>
  <si>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</si>
  <si>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</si>
  <si>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</si>
  <si>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</si>
  <si>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</si>
  <si>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</si>
  <si>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</si>
  <si>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</si>
  <si>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</si>
  <si>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</si>
  <si>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</si>
  <si>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</si>
  <si>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</si>
  <si>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</si>
  <si>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</si>
  <si>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</si>
  <si>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</si>
  <si>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</si>
  <si>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</si>
  <si>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</si>
  <si>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</si>
  <si>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</si>
  <si>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</si>
  <si>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</si>
  <si>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</si>
  <si>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</si>
  <si>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</si>
  <si>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</si>
  <si>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</si>
  <si>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</si>
  <si>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</si>
  <si>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</si>
  <si>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</si>
  <si>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</si>
  <si>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</si>
  <si>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</si>
  <si>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</si>
  <si>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</si>
  <si>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</si>
  <si>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</si>
  <si>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</si>
  <si>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</si>
  <si>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</si>
  <si>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</si>
  <si>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</si>
  <si>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</si>
  <si>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</si>
  <si>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</si>
  <si>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</si>
  <si>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</si>
  <si>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</si>
  <si>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</si>
  <si>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</si>
  <si>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</si>
  <si>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</si>
  <si>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</si>
  <si>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</si>
  <si>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</si>
  <si>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</si>
  <si>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</si>
  <si>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</si>
  <si>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</si>
  <si>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</si>
  <si>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</si>
  <si>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</si>
  <si>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</si>
  <si>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</si>
  <si>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</si>
  <si>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</si>
  <si>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</si>
  <si>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</si>
  <si>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</si>
  <si>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</si>
  <si>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</si>
  <si>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</si>
  <si>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</si>
  <si>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</si>
  <si>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</si>
  <si>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</si>
  <si>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</si>
  <si>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</si>
  <si>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</si>
  <si>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</si>
  <si>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</si>
  <si>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</si>
  <si>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</si>
  <si>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</si>
  <si>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</si>
  <si>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</si>
  <si>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</si>
  <si>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</si>
  <si>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</si>
  <si>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</si>
  <si>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</si>
  <si>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</si>
  <si>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</si>
  <si>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</si>
  <si>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</si>
  <si>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</si>
  <si>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</si>
  <si>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</si>
  <si>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</si>
  <si>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</si>
  <si>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</si>
  <si>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</si>
  <si>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</si>
  <si>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</si>
  <si>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</si>
  <si>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</si>
  <si>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</si>
  <si>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</si>
  <si>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</si>
  <si>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</si>
  <si>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</si>
  <si>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</si>
  <si>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</si>
  <si>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</si>
  <si>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</si>
  <si>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</si>
  <si>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</si>
  <si>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</si>
  <si>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</si>
  <si>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</si>
  <si>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</si>
  <si>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</si>
  <si>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</si>
  <si>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</si>
  <si>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</si>
  <si>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</si>
  <si>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</si>
  <si>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</si>
  <si>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</si>
  <si>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</si>
  <si>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</si>
  <si>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</si>
  <si>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</si>
  <si>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</si>
  <si>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</si>
  <si>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</si>
  <si>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</si>
  <si>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</si>
  <si>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</si>
  <si>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</si>
  <si>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</si>
  <si>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</si>
  <si>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</si>
  <si>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</si>
  <si>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</si>
  <si>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</si>
  <si>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</si>
  <si>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</si>
  <si>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</si>
  <si>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</si>
  <si>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</si>
  <si>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</si>
  <si>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</si>
  <si>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</si>
  <si>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</si>
  <si>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</si>
  <si>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</si>
  <si>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</si>
  <si>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</si>
  <si>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</si>
  <si>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</si>
  <si>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</si>
  <si>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</si>
  <si>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</si>
  <si>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</si>
  <si>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</si>
  <si>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</si>
  <si>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</si>
  <si>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</si>
  <si>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</si>
  <si>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</si>
  <si>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</si>
  <si>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</si>
  <si>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</si>
  <si>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</si>
  <si>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</si>
  <si>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</si>
  <si>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</si>
  <si>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</si>
  <si>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</si>
  <si>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</si>
  <si>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</si>
  <si>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</si>
  <si>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</si>
  <si>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</si>
  <si>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</si>
  <si>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</si>
  <si>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</si>
  <si>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</si>
  <si>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</si>
  <si>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</si>
  <si>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</si>
  <si>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</si>
  <si>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</si>
  <si>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</si>
  <si>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</si>
  <si>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</si>
  <si>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</si>
  <si>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</si>
  <si>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</si>
  <si>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</si>
  <si>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</si>
  <si>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</si>
  <si>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</si>
  <si>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</si>
  <si>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</si>
  <si>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</si>
  <si>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</si>
  <si>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</si>
  <si>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</si>
  <si>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</si>
  <si>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</si>
  <si>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</si>
  <si>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</si>
  <si>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</si>
  <si>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</si>
  <si>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</si>
  <si>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</si>
  <si>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</si>
  <si>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</si>
  <si>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</si>
  <si>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</si>
  <si>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</si>
  <si>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</si>
  <si>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</si>
  <si>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</si>
  <si>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</si>
  <si>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</si>
  <si>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</si>
  <si>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</si>
  <si>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</si>
  <si>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</si>
  <si>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</si>
  <si>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</si>
  <si>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</si>
  <si>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</si>
  <si>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</si>
  <si>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</si>
  <si>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</si>
  <si>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</si>
  <si>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</si>
  <si>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</si>
  <si>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</si>
  <si>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</si>
  <si>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</si>
  <si>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</si>
  <si>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</si>
  <si>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</si>
  <si>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</si>
  <si>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</si>
  <si>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</si>
  <si>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</si>
  <si>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</si>
  <si>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</si>
  <si>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</si>
  <si>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</si>
  <si>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</si>
  <si>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</si>
  <si>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</si>
  <si>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</si>
  <si>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</si>
  <si>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</si>
  <si>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</si>
  <si>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</si>
  <si>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</si>
  <si>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</si>
  <si>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</si>
  <si>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</si>
  <si>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</si>
  <si>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</si>
  <si>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</si>
  <si>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</si>
  <si>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</si>
  <si>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</si>
  <si>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</si>
  <si>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</si>
  <si>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</si>
  <si>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</si>
  <si>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</si>
  <si>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</si>
  <si>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</si>
  <si>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</si>
  <si>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</si>
  <si>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</si>
  <si>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</si>
  <si>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</si>
  <si>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</si>
  <si>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</si>
  <si>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</si>
  <si>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</si>
  <si>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</si>
  <si>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</si>
  <si>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</si>
  <si>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</si>
  <si>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</si>
  <si>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</si>
  <si>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</si>
  <si>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</si>
  <si>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</si>
  <si>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</si>
  <si>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</si>
  <si>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</si>
  <si>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</si>
  <si>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</si>
  <si>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</si>
  <si>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</si>
  <si>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</si>
  <si>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</si>
  <si>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</si>
  <si>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</si>
  <si>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</si>
  <si>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</si>
  <si>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</si>
  <si>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</si>
  <si>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</si>
  <si>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</si>
  <si>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</si>
  <si>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</si>
  <si>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</si>
  <si>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</si>
  <si>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</si>
  <si>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</si>
  <si>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</si>
  <si>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</si>
  <si>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</si>
  <si>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</si>
  <si>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</si>
  <si>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</si>
  <si>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</si>
  <si>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</si>
  <si>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</si>
  <si>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</si>
  <si>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</si>
  <si>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</si>
  <si>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</si>
  <si>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</si>
  <si>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</si>
  <si>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</si>
  <si>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</si>
  <si>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</si>
  <si>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</si>
  <si>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</si>
  <si>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</si>
  <si>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</si>
  <si>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</si>
  <si>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</si>
  <si>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</si>
  <si>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</si>
  <si>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</si>
  <si>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</si>
  <si>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</si>
  <si>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</si>
  <si>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</si>
  <si>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</si>
  <si>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</si>
  <si>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</si>
  <si>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</si>
  <si>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</si>
  <si>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</si>
  <si>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</si>
  <si>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</si>
  <si>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</si>
  <si>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</si>
  <si>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</si>
  <si>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</si>
  <si>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</si>
  <si>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</si>
  <si>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</si>
  <si>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</si>
  <si>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</si>
  <si>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</si>
  <si>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</si>
  <si>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</si>
  <si>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</si>
  <si>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</si>
  <si>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</si>
  <si>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</si>
  <si>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</si>
  <si>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</si>
  <si>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</si>
  <si>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</si>
  <si>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</si>
  <si>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</si>
  <si>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</si>
  <si>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</si>
  <si>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</si>
  <si>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</si>
  <si>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</si>
  <si>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</si>
  <si>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</si>
  <si>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</si>
  <si>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</si>
  <si>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</si>
  <si>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</si>
  <si>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</si>
  <si>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</si>
  <si>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</si>
  <si>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</si>
  <si>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</si>
  <si>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</si>
  <si>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</si>
  <si>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</si>
  <si>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</si>
  <si>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</si>
  <si>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</si>
  <si>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</si>
  <si>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</si>
  <si>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</si>
  <si>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</si>
  <si>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</si>
  <si>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</si>
  <si>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</si>
  <si>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</si>
  <si>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</si>
  <si>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</si>
  <si>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</si>
  <si>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</si>
  <si>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</si>
  <si>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</si>
  <si>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</si>
  <si>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</si>
  <si>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</si>
  <si>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</si>
  <si>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</si>
  <si>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</si>
  <si>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</si>
  <si>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</si>
  <si>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</si>
  <si>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</si>
  <si>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</si>
  <si>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</si>
  <si>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</si>
  <si>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</si>
  <si>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</si>
  <si>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</si>
  <si>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</si>
  <si>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</si>
  <si>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</si>
  <si>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</si>
  <si>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</si>
  <si>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</si>
  <si>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</si>
  <si>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</si>
  <si>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</si>
  <si>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</si>
  <si>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</si>
  <si>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</si>
  <si>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</si>
  <si>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</si>
  <si>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</si>
  <si>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</si>
  <si>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</si>
  <si>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</si>
  <si>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</si>
  <si>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</si>
  <si>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</si>
  <si>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</si>
  <si>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</si>
  <si>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</si>
  <si>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</si>
  <si>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</si>
  <si>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</si>
  <si>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</si>
  <si>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</si>
  <si>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</si>
  <si>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</si>
  <si>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</si>
  <si>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</si>
  <si>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</si>
  <si>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</si>
  <si>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</si>
  <si>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</si>
  <si>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</si>
  <si>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</si>
  <si>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</si>
  <si>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</si>
  <si>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</si>
  <si>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</si>
  <si>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</si>
  <si>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</si>
  <si>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</si>
  <si>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</si>
  <si>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</si>
  <si>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</si>
  <si>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</si>
  <si>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</si>
  <si>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</si>
  <si>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</si>
  <si>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</si>
  <si>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</si>
  <si>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</si>
  <si>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</si>
  <si>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</si>
  <si>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</si>
  <si>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</si>
  <si>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</si>
  <si>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</si>
  <si>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</si>
  <si>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</si>
  <si>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</si>
  <si>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</si>
  <si>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</si>
  <si>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</si>
  <si>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</si>
  <si>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</si>
  <si>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</si>
  <si>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</si>
  <si>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</si>
  <si>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</si>
  <si>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</si>
  <si>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</si>
  <si>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</si>
  <si>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</si>
  <si>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</si>
  <si>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</si>
  <si>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</si>
  <si>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</si>
  <si>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</si>
  <si>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</si>
  <si>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</si>
  <si>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</si>
  <si>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</si>
  <si>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</si>
  <si>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</si>
  <si>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</si>
  <si>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</si>
  <si>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</si>
  <si>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</si>
  <si>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</si>
  <si>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</si>
  <si>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</si>
  <si>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</si>
  <si>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</si>
  <si>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</si>
  <si>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</si>
  <si>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</si>
  <si>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</si>
  <si>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</si>
  <si>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</si>
  <si>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</si>
  <si>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</si>
  <si>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</si>
  <si>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</si>
  <si>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</si>
  <si>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</si>
  <si>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</si>
  <si>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</si>
  <si>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</si>
  <si>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</si>
  <si>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</si>
  <si>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</si>
  <si>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</si>
  <si>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</si>
  <si>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</si>
  <si>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</si>
  <si>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</si>
  <si>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</si>
  <si>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</si>
  <si>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</si>
  <si>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</si>
  <si>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</si>
  <si>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</si>
  <si>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</si>
  <si>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</si>
  <si>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</si>
  <si>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</si>
  <si>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</si>
  <si>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</si>
  <si>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</si>
  <si>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</si>
  <si>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</si>
  <si>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</si>
  <si>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</si>
  <si>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</si>
  <si>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</si>
  <si>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</si>
  <si>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</si>
  <si>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</si>
  <si>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</si>
  <si>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</si>
  <si>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</si>
  <si>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</si>
  <si>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</si>
  <si>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</si>
  <si>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</si>
  <si>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</si>
  <si>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</si>
  <si>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</si>
  <si>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</si>
  <si>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</si>
  <si>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</si>
  <si>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</si>
  <si>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</si>
  <si>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</si>
  <si>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</si>
  <si>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</si>
  <si>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</si>
  <si>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</si>
  <si>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</si>
  <si>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</si>
  <si>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</si>
  <si>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</si>
  <si>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</si>
  <si>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</si>
  <si>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</si>
  <si>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</si>
  <si>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</si>
  <si>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</si>
  <si>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</si>
  <si>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</si>
  <si>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</si>
  <si>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</si>
  <si>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</si>
  <si>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</si>
  <si>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</si>
  <si>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</si>
  <si>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</si>
  <si>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</si>
  <si>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</si>
  <si>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</si>
  <si>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</si>
  <si>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</si>
  <si>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</si>
  <si>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</si>
  <si>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</si>
  <si>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</si>
  <si>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</si>
  <si>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</si>
  <si>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</si>
  <si>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</si>
  <si>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</si>
  <si>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</si>
  <si>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</si>
  <si>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</si>
  <si>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</si>
  <si>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</si>
  <si>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</si>
  <si>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</si>
  <si>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</si>
  <si>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</si>
  <si>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</si>
  <si>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</si>
  <si>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</si>
  <si>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</si>
  <si>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</si>
  <si>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</si>
  <si>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</si>
  <si>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</si>
  <si>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</si>
  <si>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</si>
  <si>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</si>
  <si>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</si>
  <si>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</si>
  <si>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</si>
  <si>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</si>
  <si>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</si>
  <si>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</si>
  <si>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</si>
  <si>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</si>
  <si>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</si>
  <si>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</si>
  <si>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</si>
  <si>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</si>
  <si>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</si>
  <si>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</si>
  <si>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</si>
  <si>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</si>
  <si>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</si>
  <si>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</si>
  <si>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</si>
  <si>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</si>
  <si>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</si>
  <si>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</si>
  <si>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</si>
  <si>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</si>
  <si>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</si>
  <si>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</si>
  <si>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</si>
  <si>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</si>
  <si>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</si>
  <si>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</si>
  <si>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</si>
  <si>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</si>
  <si>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</si>
  <si>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</si>
  <si>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</si>
  <si>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</si>
  <si>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</si>
  <si>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</si>
  <si>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</si>
  <si>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</si>
  <si>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</si>
  <si>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</si>
  <si>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</si>
  <si>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</si>
  <si>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</si>
  <si>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</si>
  <si>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</si>
  <si>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</si>
  <si>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</si>
  <si>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</si>
  <si>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</si>
  <si>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</si>
  <si>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</si>
  <si>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</si>
  <si>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</si>
  <si>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</si>
  <si>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</si>
  <si>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</si>
  <si>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</si>
  <si>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</si>
  <si>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</si>
  <si>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</si>
  <si>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</si>
  <si>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</si>
  <si>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</si>
  <si>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</si>
  <si>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</si>
  <si>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</si>
  <si>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</si>
  <si>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</si>
  <si>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</si>
  <si>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</si>
  <si>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</si>
  <si>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</si>
  <si>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</si>
  <si>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</si>
  <si>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</si>
  <si>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</si>
  <si>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</si>
  <si>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</si>
  <si>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</si>
  <si>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</si>
  <si>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</si>
  <si>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</si>
  <si>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</si>
  <si>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</si>
  <si>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</si>
  <si>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</si>
  <si>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</si>
  <si>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</si>
  <si>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</si>
  <si>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</si>
  <si>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</si>
  <si>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</si>
  <si>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</si>
  <si>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</si>
  <si>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</si>
  <si>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</si>
  <si>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</si>
  <si>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</si>
  <si>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</si>
  <si>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</si>
  <si>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</si>
  <si>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</si>
  <si>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</si>
  <si>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</si>
  <si>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</si>
  <si>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</si>
  <si>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</si>
  <si>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</si>
  <si>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</si>
  <si>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</si>
  <si>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</si>
  <si>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</si>
  <si>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</si>
  <si>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</si>
  <si>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</si>
  <si>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</si>
  <si>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</si>
  <si>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</si>
  <si>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</si>
  <si>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</si>
  <si>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</si>
  <si>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</si>
  <si>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</si>
  <si>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</si>
  <si>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</si>
  <si>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</si>
  <si>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</si>
  <si>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</si>
  <si>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</si>
  <si>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</si>
  <si>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</si>
  <si>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</si>
  <si>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</si>
  <si>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</si>
  <si>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</si>
  <si>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</si>
  <si>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</si>
  <si>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</si>
  <si>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</si>
  <si>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</si>
  <si>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</si>
  <si>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</si>
  <si>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</si>
  <si>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</si>
  <si>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</si>
  <si>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</si>
  <si>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</si>
  <si>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</si>
  <si>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</si>
  <si>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</si>
  <si>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</si>
  <si>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</si>
  <si>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</si>
  <si>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</si>
  <si>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</si>
  <si>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</si>
  <si>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</si>
  <si>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</si>
  <si>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</si>
  <si>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</si>
  <si>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</si>
  <si>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</si>
  <si>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</si>
  <si>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</si>
  <si>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</si>
  <si>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</si>
  <si>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</si>
  <si>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</si>
  <si>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</si>
  <si>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</si>
  <si>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</si>
  <si>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</si>
  <si>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</si>
  <si>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</si>
  <si>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</si>
  <si>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</si>
  <si>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</si>
  <si>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</si>
  <si>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</si>
  <si>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</si>
  <si>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</si>
  <si>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</si>
  <si>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</si>
  <si>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</si>
  <si>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</si>
  <si>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</si>
  <si>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</si>
  <si>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</si>
  <si>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</si>
  <si>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</si>
  <si>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</si>
  <si>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</si>
  <si>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</si>
  <si>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</si>
  <si>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</si>
  <si>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</si>
  <si>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</si>
  <si>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</si>
  <si>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</si>
  <si>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</si>
  <si>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</si>
  <si>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</si>
  <si>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</si>
  <si>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</si>
  <si>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</si>
  <si>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</si>
  <si>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</si>
  <si>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</si>
  <si>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</si>
  <si>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</si>
  <si>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</si>
  <si>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</si>
  <si>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</si>
  <si>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</si>
  <si>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</si>
  <si>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</si>
  <si>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</si>
  <si>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</si>
  <si>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</si>
  <si>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</si>
  <si>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</si>
  <si>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</si>
  <si>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</si>
  <si>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</si>
  <si>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</si>
  <si>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</si>
  <si>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</si>
  <si>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</si>
  <si>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</si>
  <si>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</si>
  <si>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</si>
  <si>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</si>
  <si>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</si>
  <si>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</si>
  <si>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</si>
  <si>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</si>
  <si>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</si>
  <si>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</si>
  <si>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</si>
  <si>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</si>
  <si>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</si>
  <si>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</si>
  <si>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</si>
  <si>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</si>
  <si>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</si>
  <si>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</si>
  <si>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</si>
  <si>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</si>
  <si>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</si>
  <si>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</si>
  <si>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</si>
  <si>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</si>
  <si>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</si>
  <si>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</si>
  <si>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</si>
  <si>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</si>
  <si>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</si>
  <si>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</si>
  <si>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</si>
  <si>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</si>
  <si>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</si>
  <si>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</si>
  <si>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</si>
  <si>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</si>
  <si>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</si>
  <si>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</si>
  <si>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</si>
  <si>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</si>
  <si>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</si>
  <si>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</si>
  <si>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</si>
  <si>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</si>
  <si>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</si>
  <si>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</si>
  <si>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</si>
  <si>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</si>
  <si>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</si>
  <si>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</si>
  <si>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</si>
  <si>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</si>
  <si>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</si>
  <si>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</si>
  <si>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</si>
  <si>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</si>
  <si>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</si>
  <si>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</si>
  <si>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</si>
  <si>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</si>
  <si>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</si>
  <si>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</si>
  <si>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</si>
  <si>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</si>
  <si>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</si>
  <si>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</si>
  <si>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</si>
  <si>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</si>
  <si>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</si>
  <si>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</si>
  <si>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</si>
  <si>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</si>
  <si>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</si>
  <si>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</si>
  <si>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</si>
  <si>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</si>
  <si>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</si>
  <si>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</si>
  <si>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</si>
  <si>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</si>
  <si>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</si>
  <si>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</si>
  <si>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</si>
  <si>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</si>
  <si>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</si>
  <si>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</si>
  <si>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</si>
  <si>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</si>
  <si>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</si>
  <si>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</si>
  <si>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</si>
  <si>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</si>
  <si>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</si>
  <si>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</si>
  <si>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</si>
  <si>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</si>
  <si>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</si>
  <si>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</si>
  <si>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</si>
  <si>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</si>
  <si>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</si>
  <si>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</si>
  <si>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</si>
  <si>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</si>
  <si>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</si>
  <si>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</si>
  <si>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</si>
  <si>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</si>
  <si>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</si>
  <si>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</si>
  <si>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</si>
  <si>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</si>
  <si>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</si>
  <si>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</si>
  <si>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</si>
  <si>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</si>
  <si>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</si>
  <si>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</si>
  <si>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</si>
  <si>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</si>
  <si>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</si>
  <si>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</si>
  <si>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</si>
  <si>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</si>
  <si>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</si>
  <si>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</si>
  <si>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</si>
  <si>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</si>
  <si>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</si>
  <si>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</si>
  <si>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</si>
  <si>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</si>
  <si>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</si>
  <si>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</si>
  <si>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</si>
  <si>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</si>
  <si>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</si>
  <si>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</si>
  <si>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</si>
  <si>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</si>
  <si>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</si>
  <si>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</si>
  <si>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</si>
  <si>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</si>
  <si>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</si>
  <si>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</si>
  <si>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</si>
  <si>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</si>
  <si>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</si>
  <si>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</si>
  <si>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</si>
  <si>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</si>
  <si>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</si>
  <si>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</si>
  <si>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</si>
  <si>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</si>
  <si>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</si>
  <si>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</si>
  <si>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</si>
  <si>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</si>
  <si>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</si>
  <si>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</si>
  <si>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</si>
  <si>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</si>
  <si>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</si>
  <si>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</si>
  <si>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</si>
  <si>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</si>
  <si>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</si>
  <si>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</si>
  <si>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</si>
  <si>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</si>
  <si>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</si>
  <si>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</si>
  <si>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</si>
  <si>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</si>
  <si>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</si>
  <si>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</si>
  <si>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</si>
  <si>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</si>
  <si>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</si>
  <si>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</si>
  <si>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</si>
  <si>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</si>
  <si>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</si>
  <si>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</si>
  <si>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</si>
  <si>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</si>
  <si>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</si>
  <si>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</si>
  <si>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</si>
  <si>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</si>
  <si>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</si>
  <si>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</si>
  <si>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</si>
  <si>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</si>
  <si>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</si>
  <si>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</si>
  <si>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</si>
  <si>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</si>
  <si>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</si>
  <si>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</si>
  <si>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</si>
  <si>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</si>
  <si>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</si>
  <si>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</si>
  <si>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</si>
  <si>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</si>
  <si>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</si>
  <si>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</si>
  <si>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</si>
  <si>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</si>
  <si>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</si>
  <si>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</si>
  <si>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</si>
  <si>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</si>
  <si>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</si>
  <si>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</si>
  <si>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</si>
  <si>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</si>
  <si>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</si>
  <si>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</si>
  <si>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</si>
  <si>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</si>
  <si>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</si>
  <si>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</si>
  <si>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</si>
  <si>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</si>
  <si>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</si>
  <si>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</si>
  <si>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</si>
  <si>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</si>
  <si>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</si>
  <si>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</si>
  <si>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</si>
  <si>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</si>
  <si>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</si>
  <si>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</si>
  <si>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</si>
  <si>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</si>
  <si>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</si>
  <si>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</si>
  <si>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</si>
  <si>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</si>
  <si>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</si>
  <si>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</si>
  <si>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</si>
  <si>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</si>
  <si>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</si>
  <si>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</si>
  <si>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</si>
  <si>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</si>
  <si>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</si>
  <si>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</si>
  <si>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</si>
  <si>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</si>
  <si>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</si>
  <si>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</si>
  <si>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</si>
  <si>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</si>
  <si>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</si>
  <si>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</si>
  <si>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</si>
  <si>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</si>
  <si>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</si>
  <si>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</si>
  <si>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</si>
  <si>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</si>
  <si>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</si>
  <si>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</si>
  <si>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</si>
  <si>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</si>
  <si>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</si>
  <si>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</si>
  <si>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</si>
  <si>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</si>
  <si>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</si>
  <si>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</si>
  <si>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</si>
  <si>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</si>
  <si>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</si>
  <si>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</si>
  <si>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</si>
  <si>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</si>
  <si>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</si>
  <si>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</si>
  <si>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</si>
  <si>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</si>
  <si>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</si>
  <si>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</si>
  <si>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</si>
  <si>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</si>
  <si>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</si>
  <si>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</si>
  <si>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</si>
  <si>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</si>
  <si>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</si>
  <si>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</si>
  <si>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</si>
  <si>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</si>
  <si>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</si>
  <si>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</si>
  <si>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</si>
  <si>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</si>
  <si>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</si>
  <si>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</si>
  <si>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</si>
  <si>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</si>
  <si>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</si>
  <si>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</si>
  <si>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</si>
  <si>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</si>
  <si>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</si>
  <si>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</si>
  <si>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</si>
  <si>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</si>
  <si>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</si>
  <si>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</si>
  <si>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</si>
  <si>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</si>
  <si>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</si>
  <si>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</si>
  <si>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</si>
  <si>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</si>
  <si>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</si>
  <si>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</si>
  <si>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</si>
  <si>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</si>
  <si>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</si>
  <si>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</si>
  <si>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</si>
  <si>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</si>
  <si>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</si>
  <si>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</si>
  <si>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</si>
  <si>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</si>
  <si>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</si>
  <si>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</si>
  <si>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</si>
  <si>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</si>
  <si>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</si>
  <si>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</si>
  <si>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</si>
  <si>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</si>
  <si>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</si>
  <si>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</si>
  <si>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</si>
  <si>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</si>
  <si>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</si>
  <si>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</si>
  <si>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</si>
  <si>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</si>
  <si>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</si>
  <si>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</si>
  <si>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</si>
  <si>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</si>
  <si>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</si>
  <si>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</si>
  <si>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</si>
  <si>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</si>
  <si>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</si>
  <si>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</si>
  <si>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</si>
  <si>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</si>
  <si>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</si>
  <si>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</si>
  <si>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</si>
  <si>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</si>
  <si>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</si>
  <si>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</si>
  <si>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</si>
  <si>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</si>
  <si>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</si>
  <si>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</si>
  <si>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</si>
  <si>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</si>
  <si>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</si>
  <si>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</si>
  <si>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</si>
  <si>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</si>
  <si>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</si>
  <si>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</si>
  <si>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</si>
  <si>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</si>
  <si>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</si>
  <si>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</si>
  <si>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</si>
  <si>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</si>
  <si>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</si>
  <si>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</si>
  <si>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</si>
  <si>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</si>
  <si>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</si>
  <si>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</si>
  <si>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</si>
  <si>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</si>
  <si>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</si>
  <si>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</si>
  <si>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</si>
  <si>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</si>
  <si>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</si>
  <si>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</si>
  <si>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</si>
  <si>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</si>
  <si>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</si>
  <si>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</si>
  <si>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</si>
  <si>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</si>
  <si>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</si>
  <si>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</si>
  <si>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</si>
  <si>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</si>
  <si>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</si>
  <si>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</si>
  <si>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</si>
  <si>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</si>
  <si>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</si>
  <si>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</si>
  <si>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</si>
  <si>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</si>
  <si>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</si>
  <si>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</si>
  <si>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</si>
  <si>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</si>
  <si>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</si>
  <si>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</si>
  <si>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</si>
  <si>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</si>
  <si>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</si>
  <si>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</si>
  <si>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</si>
  <si>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</si>
  <si>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</si>
  <si>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</si>
  <si>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</si>
  <si>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</si>
  <si>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</si>
  <si>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</si>
  <si>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</si>
  <si>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</si>
  <si>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</si>
  <si>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</si>
  <si>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</si>
  <si>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</si>
  <si>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</si>
  <si>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</si>
  <si>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</si>
  <si>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</si>
  <si>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</si>
  <si>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</si>
  <si>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</si>
  <si>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</si>
  <si>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</si>
  <si>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</si>
  <si>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</si>
  <si>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</si>
  <si>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</si>
  <si>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</si>
  <si>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</si>
  <si>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</si>
  <si>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</si>
  <si>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</si>
  <si>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</si>
  <si>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</si>
  <si>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</si>
  <si>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</si>
  <si>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</si>
  <si>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</si>
  <si>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</si>
  <si>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</si>
  <si>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</si>
  <si>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</si>
  <si>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</si>
  <si>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</si>
  <si>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</si>
  <si>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</si>
  <si>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</si>
  <si>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</si>
  <si>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</si>
  <si>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</si>
  <si>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</si>
  <si>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</si>
  <si>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</si>
  <si>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</si>
  <si>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</si>
  <si>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</si>
  <si>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</si>
  <si>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</si>
  <si>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</si>
  <si>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</si>
  <si>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</si>
  <si>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</si>
  <si>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</si>
  <si>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</si>
  <si>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</si>
  <si>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</si>
  <si>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</si>
  <si>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</si>
  <si>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</si>
  <si>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</si>
  <si>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</si>
  <si>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</si>
  <si>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</si>
  <si>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</si>
  <si>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</si>
  <si>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</si>
  <si>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</si>
  <si>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</si>
  <si>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</si>
  <si>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</si>
  <si>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</si>
  <si>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</si>
  <si>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</si>
  <si>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</si>
  <si>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</si>
  <si>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</si>
  <si>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</si>
  <si>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</si>
  <si>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</si>
  <si>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</si>
  <si>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</si>
  <si>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</si>
  <si>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</si>
  <si>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</si>
  <si>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</si>
  <si>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</si>
  <si>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</si>
  <si>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</si>
  <si>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</si>
  <si>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</si>
  <si>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</si>
  <si>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</si>
  <si>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</si>
  <si>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</si>
  <si>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</si>
  <si>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</si>
  <si>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</si>
  <si>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</si>
  <si>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</si>
  <si>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</si>
  <si>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</si>
  <si>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</si>
  <si>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</si>
  <si>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</si>
  <si>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</si>
  <si>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</si>
  <si>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</si>
  <si>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</si>
  <si>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</si>
  <si>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</si>
  <si>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</si>
  <si>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</si>
  <si>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</si>
  <si>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</si>
  <si>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</si>
  <si>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</si>
  <si>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</si>
  <si>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</si>
  <si>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</si>
  <si>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</si>
  <si>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</si>
  <si>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</si>
  <si>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</si>
  <si>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</si>
  <si>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</si>
  <si>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</si>
  <si>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</si>
  <si>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</si>
  <si>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</si>
  <si>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</si>
  <si>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</si>
  <si>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</si>
  <si>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</si>
  <si>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</si>
  <si>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</si>
  <si>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</si>
  <si>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</si>
  <si>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</si>
  <si>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</si>
  <si>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</si>
  <si>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</si>
  <si>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</si>
  <si>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</si>
  <si>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</si>
  <si>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</si>
  <si>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</si>
  <si>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</si>
  <si>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</si>
  <si>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</si>
  <si>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</si>
  <si>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</si>
  <si>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</si>
  <si>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</si>
  <si>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</si>
  <si>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</si>
  <si>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</si>
  <si>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</si>
  <si>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</si>
  <si>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</si>
  <si>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</si>
  <si>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</si>
  <si>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</si>
  <si>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</si>
  <si>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</si>
  <si>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</si>
  <si>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</si>
  <si>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</si>
  <si>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</si>
  <si>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</si>
  <si>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</si>
  <si>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</si>
  <si>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</si>
  <si>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</si>
  <si>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</si>
  <si>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</si>
  <si>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</si>
  <si>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</si>
  <si>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</si>
  <si>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</si>
  <si>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</si>
  <si>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</si>
  <si>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</si>
  <si>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</si>
  <si>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</si>
  <si>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</si>
  <si>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</si>
  <si>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</si>
  <si>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</si>
  <si>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</si>
  <si>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</si>
  <si>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</si>
  <si>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</si>
  <si>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</si>
  <si>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</si>
  <si>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</si>
  <si>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</si>
  <si>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</si>
  <si>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</si>
  <si>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</si>
  <si>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</si>
  <si>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</si>
  <si>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</si>
  <si>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</si>
  <si>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</si>
  <si>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</si>
  <si>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</si>
  <si>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</si>
  <si>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</si>
  <si>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</si>
  <si>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</si>
  <si>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</si>
  <si>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</si>
  <si>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</si>
  <si>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</si>
  <si>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</si>
  <si>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</si>
  <si>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</si>
  <si>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</si>
  <si>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</si>
  <si>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</si>
  <si>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</si>
  <si>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</si>
  <si>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</si>
  <si>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</si>
  <si>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</si>
  <si>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</si>
  <si>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</si>
  <si>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</si>
  <si>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</si>
  <si>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</si>
  <si>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</si>
  <si>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</si>
  <si>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</si>
  <si>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</si>
  <si>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</si>
  <si>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</si>
  <si>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</si>
  <si>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</si>
  <si>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</si>
  <si>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</si>
  <si>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</si>
  <si>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</si>
  <si>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</si>
  <si>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</si>
  <si>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</si>
  <si>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</si>
  <si>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</si>
  <si>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</si>
  <si>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</si>
  <si>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</si>
  <si>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</si>
  <si>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</si>
  <si>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</si>
  <si>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</si>
  <si>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</si>
  <si>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</si>
  <si>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</si>
  <si>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</si>
  <si>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</si>
  <si>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</si>
  <si>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</si>
  <si>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</si>
  <si>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</si>
  <si>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</si>
  <si>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</si>
  <si>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</si>
  <si>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</si>
  <si>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</si>
  <si>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</si>
  <si>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</si>
  <si>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</si>
  <si>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</si>
  <si>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</si>
  <si>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</si>
  <si>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</si>
  <si>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</si>
  <si>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</si>
  <si>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</si>
  <si>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</si>
  <si>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</si>
  <si>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</si>
  <si>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</si>
  <si>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</si>
  <si>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</si>
  <si>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</si>
  <si>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</si>
  <si>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</si>
  <si>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</si>
  <si>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</si>
  <si>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</si>
  <si>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</si>
  <si>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</si>
  <si>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</si>
  <si>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</si>
  <si>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</si>
  <si>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</si>
  <si>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</si>
  <si>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</si>
  <si>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</si>
  <si>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</si>
  <si>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</si>
  <si>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</si>
  <si>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</si>
  <si>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</si>
  <si>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</si>
  <si>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</si>
  <si>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</si>
  <si>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</si>
  <si>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</si>
  <si>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</si>
  <si>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</si>
  <si>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</si>
  <si>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</si>
  <si>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</si>
  <si>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</si>
  <si>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</si>
  <si>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</si>
  <si>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</si>
  <si>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</si>
  <si>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</si>
  <si>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</si>
  <si>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</si>
  <si>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</si>
  <si>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</si>
  <si>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</si>
  <si>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</si>
  <si>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</si>
  <si>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</si>
  <si>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</si>
  <si>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</si>
  <si>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</si>
  <si>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</si>
  <si>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</si>
  <si>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</si>
  <si>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</si>
  <si>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</si>
  <si>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</si>
  <si>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</si>
  <si>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</si>
  <si>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</si>
  <si>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</si>
  <si>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</si>
  <si>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</si>
  <si>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</si>
  <si>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</si>
  <si>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</si>
  <si>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</si>
  <si>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</si>
  <si>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</si>
  <si>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</si>
  <si>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</si>
  <si>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</si>
  <si>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</si>
  <si>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</si>
  <si>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</si>
  <si>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</si>
  <si>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</si>
  <si>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</si>
  <si>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</si>
  <si>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</si>
  <si>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</si>
  <si>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</si>
  <si>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</si>
  <si>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</si>
  <si>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</si>
  <si>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</si>
  <si>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</si>
  <si>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</si>
  <si>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</si>
  <si>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</si>
  <si>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</si>
  <si>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</si>
  <si>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</si>
  <si>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</si>
  <si>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</si>
  <si>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</si>
  <si>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</si>
  <si>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</si>
  <si>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</si>
  <si>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</si>
  <si>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</si>
  <si>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</si>
  <si>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</si>
  <si>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</si>
  <si>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</si>
  <si>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</si>
  <si>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</si>
  <si>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</si>
  <si>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</si>
  <si>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</si>
  <si>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</si>
  <si>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</si>
  <si>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</si>
  <si>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</si>
  <si>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</si>
  <si>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</si>
  <si>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</si>
  <si>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</si>
  <si>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</si>
  <si>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</si>
  <si>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</si>
  <si>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</si>
  <si>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</si>
  <si>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</si>
  <si>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</si>
  <si>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</si>
  <si>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</si>
  <si>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</si>
  <si>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</si>
  <si>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</si>
  <si>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</si>
  <si>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</si>
  <si>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</si>
  <si>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</si>
  <si>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</si>
  <si>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</si>
  <si>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</si>
  <si>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</si>
  <si>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</si>
  <si>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</si>
  <si>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</si>
  <si>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</si>
  <si>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</si>
  <si>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</si>
  <si>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</si>
  <si>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</si>
  <si>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</si>
  <si>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</si>
  <si>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</si>
  <si>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</si>
  <si>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</si>
  <si>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</si>
  <si>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</si>
  <si>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</si>
  <si>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</si>
  <si>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</si>
  <si>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</si>
  <si>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</si>
  <si>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</si>
  <si>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</si>
  <si>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</si>
  <si>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</si>
  <si>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</si>
  <si>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</si>
  <si>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</si>
  <si>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</si>
  <si>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</si>
  <si>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</si>
  <si>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</si>
  <si>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UL_CC0_TAS_FE_ROUTE</t>
  </si>
  <si>
    <t>DL_CC1_TAS_FE_ROUTE</t>
  </si>
  <si>
    <t>DL_CC0_TAS_FE_ROUTE</t>
  </si>
  <si>
    <t>0x00000001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</si>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</sst>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149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99</v>
      </c>
      <c r="C29" s="229" t="s">
        <v>1006</v>
      </c>
      <c r="D29" s="230" t="s">
        <v>105</v>
      </c>
      <c r="E29" s="231" t="s">
        <v>113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374</v>
      </c>
      <c r="L29" s="238" t="s">
        <v>1779</v>
      </c>
      <c r="M29" s="239" t="s">
        <v>1779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3lAXBGFm6ApiJr4xqeJr+qAkMUqFWLH7OXDh+WK3V8qCJwmWmDX68MABgSLVLPF6/I72RombQpTz0aTNMzo4ew==" saltValue="ZlhADZGbfZ0JOswvnpkBP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2mN8q3FhaLx5CbOv/IMd1vn1auswMrpQWO1bFXEA66DHkC83CCsPWM04flZJKCa+gGZEQwqgCYGqPiaK73et+Q==" saltValue="KNCReksnp2Yt3TF5GcZ3fA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lvcTHEvcFXJNmf1cVqOAPwDNtDND6UmZIsmh9h6FIW3lrOwV6zJHuo79lC1lR9G7bwB4KYHyezXTt7IvfyTpzg==" saltValue="hI/vA5P9kFZSVjDMhRCmm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KXgK91bCZjEAR5aK2qVmEryRvrnbqH0CQZpEiS+WdrpWwDX7i9wjpJoIUNFml+vRhTtCQ3QCRgpQCy5efBVxfA==" saltValue="CKoEv309m0VMquUvZUWk6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607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LTE_Band42</v>
      </c>
      <c r="C52" s="296" t="s">
        <v>564</v>
      </c>
      <c r="D52" s="298" t="s">
        <v>564</v>
      </c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4r7IjEnl6R/KpY8Zne0YFLw7XhhNGTeY72wXlDQLBXC93XwBD+Ru+zgVxlo0Oq6Jjt+j6CO84LFQdPOdPCGerg==" saltValue="4Mfzpt7fJvB3BA/TCfzwbg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803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1</v>
      </c>
      <c r="D56" s="349" t="s">
        <v>606</v>
      </c>
      <c r="E56" s="350">
        <v>4</v>
      </c>
      <c r="F56" s="351" t="s">
        <v>803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1</v>
      </c>
      <c r="D57" s="349" t="s">
        <v>606</v>
      </c>
      <c r="E57" s="350">
        <v>4</v>
      </c>
      <c r="F57" s="351" t="s">
        <v>803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1</v>
      </c>
      <c r="D58" s="349" t="s">
        <v>606</v>
      </c>
      <c r="E58" s="350">
        <v>4</v>
      </c>
      <c r="F58" s="351" t="s">
        <v>803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1</v>
      </c>
      <c r="D59" s="349" t="s">
        <v>606</v>
      </c>
      <c r="E59" s="350">
        <v>4</v>
      </c>
      <c r="F59" s="351" t="s">
        <v>803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1</v>
      </c>
      <c r="D60" s="349" t="s">
        <v>606</v>
      </c>
      <c r="E60" s="350">
        <v>4</v>
      </c>
      <c r="F60" s="351" t="s">
        <v>803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1</v>
      </c>
      <c r="D61" s="349" t="s">
        <v>606</v>
      </c>
      <c r="E61" s="350">
        <v>4</v>
      </c>
      <c r="F61" s="351" t="s">
        <v>803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1</v>
      </c>
      <c r="D62" s="349" t="s">
        <v>606</v>
      </c>
      <c r="E62" s="350">
        <v>4</v>
      </c>
      <c r="F62" s="351" t="s">
        <v>803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1</v>
      </c>
      <c r="D63" s="349" t="s">
        <v>606</v>
      </c>
      <c r="E63" s="350">
        <v>4</v>
      </c>
      <c r="F63" s="351" t="s">
        <v>803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1</v>
      </c>
      <c r="D64" s="349" t="s">
        <v>606</v>
      </c>
      <c r="E64" s="350">
        <v>4</v>
      </c>
      <c r="F64" s="351" t="s">
        <v>803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1</v>
      </c>
      <c r="D65" s="349" t="s">
        <v>606</v>
      </c>
      <c r="E65" s="350">
        <v>4</v>
      </c>
      <c r="F65" s="351" t="s">
        <v>803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1</v>
      </c>
      <c r="D66" s="349" t="s">
        <v>606</v>
      </c>
      <c r="E66" s="350">
        <v>4</v>
      </c>
      <c r="F66" s="351" t="s">
        <v>803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1</v>
      </c>
      <c r="D67" s="349" t="s">
        <v>606</v>
      </c>
      <c r="E67" s="350">
        <v>4</v>
      </c>
      <c r="F67" s="351" t="s">
        <v>803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1</v>
      </c>
      <c r="D68" s="349" t="s">
        <v>606</v>
      </c>
      <c r="E68" s="350">
        <v>4</v>
      </c>
      <c r="F68" s="351" t="s">
        <v>803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1</v>
      </c>
      <c r="D69" s="349" t="s">
        <v>606</v>
      </c>
      <c r="E69" s="350">
        <v>4</v>
      </c>
      <c r="F69" s="351" t="s">
        <v>803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1</v>
      </c>
      <c r="D70" s="349" t="s">
        <v>606</v>
      </c>
      <c r="E70" s="350">
        <v>4</v>
      </c>
      <c r="F70" s="351" t="s">
        <v>803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1</v>
      </c>
      <c r="D71" s="349" t="s">
        <v>606</v>
      </c>
      <c r="E71" s="350">
        <v>4</v>
      </c>
      <c r="F71" s="351" t="s">
        <v>803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1</v>
      </c>
      <c r="D72" s="349" t="s">
        <v>606</v>
      </c>
      <c r="E72" s="350">
        <v>4</v>
      </c>
      <c r="F72" s="351" t="s">
        <v>803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1</v>
      </c>
      <c r="D73" s="349" t="s">
        <v>606</v>
      </c>
      <c r="E73" s="350">
        <v>4</v>
      </c>
      <c r="F73" s="351" t="s">
        <v>803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1</v>
      </c>
      <c r="D74" s="349" t="s">
        <v>606</v>
      </c>
      <c r="E74" s="350">
        <v>4</v>
      </c>
      <c r="F74" s="351" t="s">
        <v>803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LTE_Band42</v>
      </c>
      <c r="C75" s="348" t="b">
        <v>1</v>
      </c>
      <c r="D75" s="349" t="s">
        <v>606</v>
      </c>
      <c r="E75" s="350">
        <v>4</v>
      </c>
      <c r="F75" s="351" t="s">
        <v>803</v>
      </c>
      <c r="G75" s="352" t="s">
        <v>660</v>
      </c>
      <c r="H75" s="353" t="s">
        <v>659</v>
      </c>
      <c r="I75" s="354" t="s">
        <v>660</v>
      </c>
      <c r="J75" s="355" t="s">
        <v>671</v>
      </c>
      <c r="K75" s="356" t="s">
        <v>673</v>
      </c>
      <c r="L75" s="357" t="s">
        <v>672</v>
      </c>
      <c r="M75" s="358" t="s">
        <v>673</v>
      </c>
      <c r="N75" s="359" t="s">
        <v>671</v>
      </c>
      <c r="O75" s="360" t="s">
        <v>674</v>
      </c>
      <c r="P75" s="361" t="s">
        <v>672</v>
      </c>
      <c r="Q75" s="362" t="s">
        <v>674</v>
      </c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1</v>
      </c>
      <c r="D86" s="365" t="s">
        <v>606</v>
      </c>
      <c r="E86" s="366">
        <v>4</v>
      </c>
      <c r="F86" s="367" t="s">
        <v>803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 t="s">
        <v>629</v>
      </c>
      <c r="C107" s="419">
        <v>4</v>
      </c>
      <c r="D107" s="419" t="s">
        <v>803</v>
      </c>
      <c r="E107" s="419" t="s">
        <v>660</v>
      </c>
      <c r="F107" s="419" t="s">
        <v>803</v>
      </c>
      <c r="G107" s="419" t="s">
        <v>660</v>
      </c>
      <c r="H107" s="419">
        <v>2</v>
      </c>
      <c r="I107" s="128" t="s">
        <v>855</v>
      </c>
      <c r="J107" s="379">
        <v>19600</v>
      </c>
      <c r="K107" s="380" t="s">
        <v>671</v>
      </c>
      <c r="L107" s="381" t="s">
        <v>673</v>
      </c>
      <c r="M107" s="382" t="s">
        <v>671</v>
      </c>
      <c r="N107" s="383" t="s">
        <v>673</v>
      </c>
      <c r="O107" s="384" t="s">
        <v>671</v>
      </c>
      <c r="P107" s="385" t="s">
        <v>673</v>
      </c>
      <c r="Q107" s="386" t="s">
        <v>671</v>
      </c>
      <c r="R107" s="387" t="s">
        <v>673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>
        <v>19900</v>
      </c>
      <c r="K108" s="380" t="s">
        <v>672</v>
      </c>
      <c r="L108" s="381" t="s">
        <v>674</v>
      </c>
      <c r="M108" s="382" t="s">
        <v>672</v>
      </c>
      <c r="N108" s="383" t="s">
        <v>674</v>
      </c>
      <c r="O108" s="384" t="s">
        <v>672</v>
      </c>
      <c r="P108" s="385" t="s">
        <v>674</v>
      </c>
      <c r="Q108" s="386" t="s">
        <v>672</v>
      </c>
      <c r="R108" s="387" t="s">
        <v>674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>
        <v>0</v>
      </c>
      <c r="K109" s="380" t="s">
        <v>680</v>
      </c>
      <c r="L109" s="381" t="s">
        <v>675</v>
      </c>
      <c r="M109" s="382" t="s">
        <v>680</v>
      </c>
      <c r="N109" s="383" t="s">
        <v>675</v>
      </c>
      <c r="O109" s="384" t="s">
        <v>680</v>
      </c>
      <c r="P109" s="385" t="s">
        <v>675</v>
      </c>
      <c r="Q109" s="386" t="s">
        <v>680</v>
      </c>
      <c r="R109" s="387" t="s">
        <v>675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>
        <v>0</v>
      </c>
      <c r="K110" s="380" t="s">
        <v>681</v>
      </c>
      <c r="L110" s="381" t="s">
        <v>676</v>
      </c>
      <c r="M110" s="382" t="s">
        <v>681</v>
      </c>
      <c r="N110" s="383" t="s">
        <v>676</v>
      </c>
      <c r="O110" s="384" t="s">
        <v>681</v>
      </c>
      <c r="P110" s="385" t="s">
        <v>676</v>
      </c>
      <c r="Q110" s="386" t="s">
        <v>681</v>
      </c>
      <c r="R110" s="387" t="s">
        <v>676</v>
      </c>
    </row>
    <row r="111" spans="1:18">
      <c r="A111" s="420" t="s">
        <v>738</v>
      </c>
      <c r="B111" s="419" t="s">
        <v>722</v>
      </c>
      <c r="C111" s="419">
        <v>4</v>
      </c>
      <c r="D111" s="419" t="s">
        <v>803</v>
      </c>
      <c r="E111" s="419" t="s">
        <v>660</v>
      </c>
      <c r="F111" s="419" t="s">
        <v>803</v>
      </c>
      <c r="G111" s="419" t="s">
        <v>660</v>
      </c>
      <c r="H111" s="419">
        <v>2</v>
      </c>
      <c r="I111" s="128" t="s">
        <v>855</v>
      </c>
      <c r="J111" s="379">
        <v>7805</v>
      </c>
      <c r="K111" s="380" t="s">
        <v>671</v>
      </c>
      <c r="L111" s="381" t="s">
        <v>676</v>
      </c>
      <c r="M111" s="382" t="s">
        <v>671</v>
      </c>
      <c r="N111" s="383" t="s">
        <v>676</v>
      </c>
      <c r="O111" s="384" t="s">
        <v>671</v>
      </c>
      <c r="P111" s="385" t="s">
        <v>676</v>
      </c>
      <c r="Q111" s="386" t="s">
        <v>671</v>
      </c>
      <c r="R111" s="387" t="s">
        <v>676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>
        <v>8030</v>
      </c>
      <c r="K112" s="380" t="s">
        <v>671</v>
      </c>
      <c r="L112" s="381" t="s">
        <v>675</v>
      </c>
      <c r="M112" s="382" t="s">
        <v>671</v>
      </c>
      <c r="N112" s="383" t="s">
        <v>675</v>
      </c>
      <c r="O112" s="384" t="s">
        <v>671</v>
      </c>
      <c r="P112" s="385" t="s">
        <v>675</v>
      </c>
      <c r="Q112" s="386" t="s">
        <v>671</v>
      </c>
      <c r="R112" s="387" t="s">
        <v>675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>
        <v>0</v>
      </c>
      <c r="K113" s="380" t="s">
        <v>671</v>
      </c>
      <c r="L113" s="381" t="s">
        <v>674</v>
      </c>
      <c r="M113" s="382" t="s">
        <v>671</v>
      </c>
      <c r="N113" s="383" t="s">
        <v>674</v>
      </c>
      <c r="O113" s="384" t="s">
        <v>671</v>
      </c>
      <c r="P113" s="385" t="s">
        <v>674</v>
      </c>
      <c r="Q113" s="386" t="s">
        <v>671</v>
      </c>
      <c r="R113" s="387" t="s">
        <v>674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>
        <v>0</v>
      </c>
      <c r="K114" s="380" t="s">
        <v>671</v>
      </c>
      <c r="L114" s="381" t="s">
        <v>673</v>
      </c>
      <c r="M114" s="382" t="s">
        <v>671</v>
      </c>
      <c r="N114" s="383" t="s">
        <v>673</v>
      </c>
      <c r="O114" s="384" t="s">
        <v>671</v>
      </c>
      <c r="P114" s="385" t="s">
        <v>673</v>
      </c>
      <c r="Q114" s="386" t="s">
        <v>671</v>
      </c>
      <c r="R114" s="387" t="s">
        <v>673</v>
      </c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Rlz03VOz+Q4IWJAR6+8ZizwI+d1Ger9ndT/NkgSYugu4atEfxFi/J7n/kugEvawRRozQCN/1M4fE/Jc3ENKyzg==" saltValue="CF6qCmXu9077fwjFs44u8Q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60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1664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1652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1670</v>
      </c>
      <c r="O19" s="35" t="s">
        <v>182</v>
      </c>
      <c r="P19" s="84" t="str">
        <f t="shared" ref="P19:P89" si="0">N19</f>
        <v>TRUE</v>
      </c>
      <c r="Q19" s="49"/>
      <c r="R19" s="90" t="s">
        <v>1671</v>
      </c>
      <c r="S19" s="90" t="s">
        <v>1776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1670</v>
      </c>
      <c r="O20" s="35" t="s">
        <v>182</v>
      </c>
      <c r="P20" s="84" t="str">
        <f t="shared" si="0"/>
        <v>TRUE</v>
      </c>
      <c r="Q20" s="49"/>
      <c r="R20" s="90" t="s">
        <v>1671</v>
      </c>
      <c r="S20" s="90" t="s">
        <v>1776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1670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1777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1670</v>
      </c>
      <c r="O22" s="35" t="s">
        <v>182</v>
      </c>
      <c r="P22" s="84" t="str">
        <f t="shared" si="0"/>
        <v>TRUE</v>
      </c>
      <c r="Q22" s="49"/>
      <c r="R22" s="90" t="s">
        <v>1671</v>
      </c>
      <c r="S22" s="90" t="s">
        <v>1776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1670</v>
      </c>
      <c r="O23" s="35" t="s">
        <v>182</v>
      </c>
      <c r="P23" s="84" t="str">
        <f t="shared" si="0"/>
        <v>TRUE</v>
      </c>
      <c r="Q23" s="49"/>
      <c r="R23" s="90" t="s">
        <v>1671</v>
      </c>
      <c r="S23" s="90" t="s">
        <v>1776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1670</v>
      </c>
      <c r="O24" s="35" t="s">
        <v>182</v>
      </c>
      <c r="P24" s="84" t="str">
        <f t="shared" si="0"/>
        <v>TRUE</v>
      </c>
      <c r="Q24" s="49"/>
      <c r="R24" s="90" t="s">
        <v>1671</v>
      </c>
      <c r="S24" s="90" t="s">
        <v>1776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1670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1777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1670</v>
      </c>
      <c r="O26" s="35" t="s">
        <v>182</v>
      </c>
      <c r="P26" s="84" t="str">
        <f t="shared" si="0"/>
        <v>TRUE</v>
      </c>
      <c r="Q26" s="49"/>
      <c r="R26" s="90" t="s">
        <v>1671</v>
      </c>
      <c r="S26" s="90" t="s">
        <v>1776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1670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1777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1670</v>
      </c>
      <c r="O34" s="35" t="s">
        <v>182</v>
      </c>
      <c r="P34" s="84" t="str">
        <f t="shared" si="0"/>
        <v>TRUE</v>
      </c>
      <c r="Q34" s="49"/>
      <c r="R34" s="90" t="s">
        <v>1671</v>
      </c>
      <c r="S34" s="90" t="s">
        <v>1776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1670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1777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1670</v>
      </c>
      <c r="O40" s="35" t="s">
        <v>182</v>
      </c>
      <c r="P40" s="84" t="str">
        <f t="shared" si="0"/>
        <v>TRUE</v>
      </c>
      <c r="Q40" s="49"/>
      <c r="R40" s="90" t="s">
        <v>1671</v>
      </c>
      <c r="S40" s="90" t="s">
        <v>1776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1670</v>
      </c>
      <c r="O41" s="35" t="s">
        <v>182</v>
      </c>
      <c r="P41" s="84" t="str">
        <f t="shared" si="0"/>
        <v>TRUE</v>
      </c>
      <c r="Q41" s="49"/>
      <c r="R41" s="90" t="s">
        <v>1671</v>
      </c>
      <c r="S41" s="90" t="s">
        <v>1776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1670</v>
      </c>
      <c r="O42" s="35" t="s">
        <v>182</v>
      </c>
      <c r="P42" s="84" t="str">
        <f t="shared" si="0"/>
        <v>TRUE</v>
      </c>
      <c r="Q42" s="49"/>
      <c r="R42" s="90" t="s">
        <v>1671</v>
      </c>
      <c r="S42" s="90" t="s">
        <v>1776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1670</v>
      </c>
      <c r="O43" s="35" t="s">
        <v>182</v>
      </c>
      <c r="P43" s="84" t="str">
        <f t="shared" si="0"/>
        <v>TRUE</v>
      </c>
      <c r="Q43" s="49"/>
      <c r="R43" s="90" t="s">
        <v>1671</v>
      </c>
      <c r="S43" s="90" t="s">
        <v>1776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1670</v>
      </c>
      <c r="O44" s="35" t="s">
        <v>182</v>
      </c>
      <c r="P44" s="84" t="str">
        <f t="shared" si="0"/>
        <v>TRUE</v>
      </c>
      <c r="Q44" s="49"/>
      <c r="R44" s="90" t="s">
        <v>1671</v>
      </c>
      <c r="S44" s="90" t="s">
        <v>1776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1670</v>
      </c>
      <c r="O45" s="35" t="s">
        <v>182</v>
      </c>
      <c r="P45" s="84" t="str">
        <f t="shared" si="0"/>
        <v>TRUE</v>
      </c>
      <c r="Q45" s="49"/>
      <c r="R45" s="90" t="s">
        <v>1671</v>
      </c>
      <c r="S45" s="90" t="s">
        <v>1776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1670</v>
      </c>
      <c r="O46" s="35" t="s">
        <v>182</v>
      </c>
      <c r="P46" s="84" t="str">
        <f t="shared" si="0"/>
        <v>TRUE</v>
      </c>
      <c r="Q46" s="49"/>
      <c r="R46" s="90" t="s">
        <v>1671</v>
      </c>
      <c r="S46" s="90" t="s">
        <v>1776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1674</v>
      </c>
      <c r="B59" s="43" t="s">
        <v>310</v>
      </c>
      <c r="C59" s="48" t="s">
        <v>84</v>
      </c>
      <c r="D59" s="126" t="s">
        <v>1019</v>
      </c>
      <c r="E59" s="48" t="s">
        <v>1676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1674</v>
      </c>
      <c r="B60" s="43" t="s">
        <v>1675</v>
      </c>
      <c r="C60" s="48" t="s">
        <v>84</v>
      </c>
      <c r="D60" s="126" t="s">
        <v>1019</v>
      </c>
      <c r="E60" s="48" t="s">
        <v>1676</v>
      </c>
      <c r="F60" s="126" t="s">
        <v>1019</v>
      </c>
      <c r="G60" s="48" t="s">
        <v>15</v>
      </c>
      <c r="H60" s="163"/>
      <c r="I60" s="48" t="s">
        <v>1676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1672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1672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1670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1777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1670</v>
      </c>
      <c r="O73" s="35" t="s">
        <v>182</v>
      </c>
      <c r="P73" s="84" t="str">
        <f t="shared" si="0"/>
        <v>TRUE</v>
      </c>
      <c r="Q73" s="49"/>
      <c r="R73" s="90" t="s">
        <v>1671</v>
      </c>
      <c r="S73" s="90" t="s">
        <v>1776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1670</v>
      </c>
      <c r="O74" s="35" t="s">
        <v>182</v>
      </c>
      <c r="P74" s="84" t="str">
        <f t="shared" si="0"/>
        <v>TRUE</v>
      </c>
      <c r="Q74" s="49"/>
      <c r="R74" s="90" t="s">
        <v>1671</v>
      </c>
      <c r="S74" s="90" t="s">
        <v>1776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1670</v>
      </c>
      <c r="O75" s="35" t="s">
        <v>182</v>
      </c>
      <c r="P75" s="84" t="str">
        <f t="shared" si="0"/>
        <v>TRUE</v>
      </c>
      <c r="Q75" s="49"/>
      <c r="R75" s="90" t="s">
        <v>1671</v>
      </c>
      <c r="S75" s="90" t="s">
        <v>1776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1670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1777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1670</v>
      </c>
      <c r="O77" s="35" t="s">
        <v>182</v>
      </c>
      <c r="P77" s="84" t="str">
        <f t="shared" si="0"/>
        <v>TRUE</v>
      </c>
      <c r="Q77" s="49"/>
      <c r="R77" s="90" t="s">
        <v>1671</v>
      </c>
      <c r="S77" s="90" t="s">
        <v>1776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1670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1777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1670</v>
      </c>
      <c r="O83" s="35" t="s">
        <v>182</v>
      </c>
      <c r="P83" s="84" t="str">
        <f t="shared" si="0"/>
        <v>TRUE</v>
      </c>
      <c r="Q83" s="49"/>
      <c r="R83" s="90" t="s">
        <v>1671</v>
      </c>
      <c r="S83" s="90" t="s">
        <v>1776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1670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1777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1670</v>
      </c>
      <c r="O89" s="35" t="s">
        <v>182</v>
      </c>
      <c r="P89" s="84" t="str">
        <f t="shared" si="0"/>
        <v>TRUE</v>
      </c>
      <c r="Q89" s="49"/>
      <c r="R89" s="90" t="s">
        <v>1671</v>
      </c>
      <c r="S89" s="90" t="s">
        <v>1776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1670</v>
      </c>
      <c r="O90" s="35" t="s">
        <v>182</v>
      </c>
      <c r="P90" s="84" t="str">
        <f t="shared" ref="P90:P173" si="5">N90</f>
        <v>TRUE</v>
      </c>
      <c r="Q90" s="49"/>
      <c r="R90" s="90" t="s">
        <v>1671</v>
      </c>
      <c r="S90" s="90" t="s">
        <v>1776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1670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1778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1670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1777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1670</v>
      </c>
      <c r="O93" s="35" t="s">
        <v>182</v>
      </c>
      <c r="P93" s="84" t="str">
        <f t="shared" si="5"/>
        <v>TRUE</v>
      </c>
      <c r="Q93" s="49"/>
      <c r="R93" s="90" t="s">
        <v>1671</v>
      </c>
      <c r="S93" s="90" t="s">
        <v>1776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1670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1776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1670</v>
      </c>
      <c r="O95" s="35" t="s">
        <v>182</v>
      </c>
      <c r="P95" s="84" t="str">
        <f t="shared" si="5"/>
        <v>TRUE</v>
      </c>
      <c r="Q95" s="49"/>
      <c r="R95" s="90" t="s">
        <v>1671</v>
      </c>
      <c r="S95" s="90" t="s">
        <v>1776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1670</v>
      </c>
      <c r="O96" s="35" t="s">
        <v>182</v>
      </c>
      <c r="P96" s="84" t="str">
        <f t="shared" si="5"/>
        <v>TRUE</v>
      </c>
      <c r="Q96" s="49"/>
      <c r="R96" s="90" t="s">
        <v>1671</v>
      </c>
      <c r="S96" s="90" t="s">
        <v>1776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1672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1672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1672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1672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1670</v>
      </c>
      <c r="O118" s="35" t="s">
        <v>182</v>
      </c>
      <c r="P118" s="84" t="str">
        <f t="shared" si="5"/>
        <v>TRUE</v>
      </c>
      <c r="Q118" s="49"/>
      <c r="R118" s="90" t="s">
        <v>1671</v>
      </c>
      <c r="S118" s="90" t="s">
        <v>1776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1670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1778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1672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1672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1670</v>
      </c>
      <c r="O126" s="35" t="s">
        <v>182</v>
      </c>
      <c r="P126" s="84" t="str">
        <f t="shared" si="5"/>
        <v>TRUE</v>
      </c>
      <c r="Q126" s="49"/>
      <c r="R126" s="90" t="s">
        <v>1671</v>
      </c>
      <c r="S126" s="90" t="s">
        <v>1776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1670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1778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1670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1777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1670</v>
      </c>
      <c r="O131" s="35" t="s">
        <v>182</v>
      </c>
      <c r="P131" s="84" t="str">
        <f t="shared" si="5"/>
        <v>TRUE</v>
      </c>
      <c r="Q131" s="49"/>
      <c r="R131" s="90" t="s">
        <v>1671</v>
      </c>
      <c r="S131" s="90" t="s">
        <v>1776</v>
      </c>
      <c r="T131" s="90"/>
    </row>
    <row r="132" spans="1:20" s="36" customFormat="1">
      <c r="A132" s="43" t="s">
        <v>1780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1780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1670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1777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1670</v>
      </c>
      <c r="O135" s="35" t="s">
        <v>182</v>
      </c>
      <c r="P135" s="84" t="str">
        <f t="shared" si="5"/>
        <v>TRUE</v>
      </c>
      <c r="Q135" s="49"/>
      <c r="R135" s="90" t="s">
        <v>1671</v>
      </c>
      <c r="S135" s="90" t="s">
        <v>1776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1670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1777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1670</v>
      </c>
      <c r="O137" s="35" t="s">
        <v>182</v>
      </c>
      <c r="P137" s="84" t="str">
        <f t="shared" si="5"/>
        <v>TRUE</v>
      </c>
      <c r="Q137" s="49"/>
      <c r="R137" s="90" t="s">
        <v>1671</v>
      </c>
      <c r="S137" s="90" t="s">
        <v>1776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1672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1672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1670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1670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1781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1781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1670</v>
      </c>
      <c r="O157" s="35" t="s">
        <v>182</v>
      </c>
      <c r="P157" s="84" t="str">
        <f t="shared" si="5"/>
        <v>TRUE</v>
      </c>
      <c r="Q157" s="49"/>
      <c r="R157" s="90" t="s">
        <v>1671</v>
      </c>
      <c r="S157" s="90" t="s">
        <v>1776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1670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1778</v>
      </c>
      <c r="T158" s="90"/>
    </row>
    <row r="159" spans="1:20" s="389" customFormat="1">
      <c r="A159" s="43" t="s">
        <v>1782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1782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1673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1677</v>
      </c>
      <c r="B177" s="43" t="s">
        <v>1675</v>
      </c>
      <c r="C177" s="48" t="s">
        <v>1676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1677</v>
      </c>
      <c r="B178" s="43" t="s">
        <v>416</v>
      </c>
      <c r="C178" s="48" t="s">
        <v>1676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1678</v>
      </c>
      <c r="B179" s="43" t="s">
        <v>1675</v>
      </c>
      <c r="C179" s="48" t="s">
        <v>1676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1678</v>
      </c>
      <c r="B180" s="43" t="s">
        <v>401</v>
      </c>
      <c r="C180" s="48" t="s">
        <v>1676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1670</v>
      </c>
      <c r="O189" s="35" t="s">
        <v>182</v>
      </c>
      <c r="P189" s="84" t="str">
        <f>N189</f>
        <v>TRUE</v>
      </c>
      <c r="Q189" s="49"/>
      <c r="R189" s="90" t="s">
        <v>1671</v>
      </c>
      <c r="S189" s="90" t="s">
        <v>1776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1670</v>
      </c>
      <c r="O190" s="35" t="s">
        <v>182</v>
      </c>
      <c r="P190" s="84" t="str">
        <f t="shared" si="12"/>
        <v>TRUE</v>
      </c>
      <c r="Q190" s="49"/>
      <c r="R190" s="90" t="s">
        <v>1671</v>
      </c>
      <c r="S190" s="90" t="s">
        <v>1776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1670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1778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1672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1672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1698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89" customFormat="1">
      <c r="A209" s="43" t="s">
        <v>1698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89" customFormat="1">
      <c r="A216" s="43" t="s">
        <v>1679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1679</v>
      </c>
      <c r="B217" s="43" t="s">
        <v>1680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1168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1670</v>
      </c>
      <c r="O218" s="35" t="s">
        <v>182</v>
      </c>
      <c r="P218" s="84" t="str">
        <f t="shared" si="12"/>
        <v>TRUE</v>
      </c>
      <c r="Q218" s="49"/>
      <c r="R218" s="90" t="s">
        <v>1671</v>
      </c>
      <c r="S218" s="90" t="s">
        <v>1776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1670</v>
      </c>
      <c r="O219" s="35" t="s">
        <v>182</v>
      </c>
      <c r="P219" s="84" t="str">
        <f t="shared" si="12"/>
        <v>TRUE</v>
      </c>
      <c r="Q219" s="49"/>
      <c r="R219" s="90" t="s">
        <v>1671</v>
      </c>
      <c r="S219" s="90" t="s">
        <v>1776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1651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1672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1672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0" t="s">
        <v>357</v>
      </c>
      <c r="B232" s="431"/>
      <c r="C232" s="427" t="s">
        <v>241</v>
      </c>
      <c r="D232" s="428"/>
      <c r="E232" s="428"/>
      <c r="F232" s="428"/>
      <c r="G232" s="428"/>
      <c r="H232" s="429"/>
      <c r="I232" s="427" t="s">
        <v>242</v>
      </c>
      <c r="J232" s="428"/>
      <c r="K232" s="428"/>
      <c r="L232" s="428"/>
      <c r="M232" s="429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1330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1166</v>
      </c>
      <c r="S233" s="102" t="s">
        <v>1167</v>
      </c>
      <c r="T233" s="102" t="s">
        <v>1489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0" t="s">
        <v>245</v>
      </c>
      <c r="B237" s="431"/>
      <c r="C237" s="427" t="s">
        <v>241</v>
      </c>
      <c r="D237" s="428"/>
      <c r="E237" s="428"/>
      <c r="F237" s="428"/>
      <c r="G237" s="428"/>
      <c r="H237" s="429"/>
      <c r="I237" s="427" t="s">
        <v>242</v>
      </c>
      <c r="J237" s="428"/>
      <c r="K237" s="428"/>
      <c r="L237" s="428"/>
      <c r="M237" s="429"/>
      <c r="N237" s="70" t="s">
        <v>243</v>
      </c>
      <c r="O237" s="70" t="s">
        <v>244</v>
      </c>
      <c r="P237" s="71" t="s">
        <v>243</v>
      </c>
      <c r="Q237" s="100" t="s">
        <v>1169</v>
      </c>
      <c r="R237" s="101" t="s">
        <v>624</v>
      </c>
      <c r="S237" s="101" t="s">
        <v>911</v>
      </c>
      <c r="T237" s="101" t="s">
        <v>1330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1166</v>
      </c>
      <c r="S238" s="102" t="s">
        <v>1167</v>
      </c>
      <c r="T238" s="102" t="s">
        <v>1489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1672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1670</v>
      </c>
      <c r="O241" s="35" t="s">
        <v>182</v>
      </c>
      <c r="P241" s="84" t="str">
        <f t="shared" ref="P241:P251" si="20">N241</f>
        <v>TRUE</v>
      </c>
      <c r="Q241" s="49"/>
      <c r="R241" s="90" t="s">
        <v>1671</v>
      </c>
      <c r="S241" s="90" t="s">
        <v>1776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1670</v>
      </c>
      <c r="O243" s="35" t="s">
        <v>182</v>
      </c>
      <c r="P243" s="84" t="str">
        <f t="shared" ref="P243" si="21">N243</f>
        <v>TRUE</v>
      </c>
      <c r="Q243" s="49"/>
      <c r="R243" s="90" t="s">
        <v>1671</v>
      </c>
      <c r="S243" s="90" t="s">
        <v>1776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1670</v>
      </c>
      <c r="O244" s="35" t="s">
        <v>182</v>
      </c>
      <c r="P244" s="84" t="str">
        <f t="shared" si="20"/>
        <v>TRUE</v>
      </c>
      <c r="Q244" s="49"/>
      <c r="R244" s="90" t="s">
        <v>1671</v>
      </c>
      <c r="S244" s="90" t="s">
        <v>1776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1767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1672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1670</v>
      </c>
      <c r="O249" s="35" t="s">
        <v>182</v>
      </c>
      <c r="P249" s="84" t="str">
        <f t="shared" si="20"/>
        <v>TRUE</v>
      </c>
      <c r="Q249" s="49"/>
      <c r="R249" s="90" t="s">
        <v>1671</v>
      </c>
      <c r="S249" s="90" t="s">
        <v>1776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1670</v>
      </c>
      <c r="O250" s="35" t="s">
        <v>182</v>
      </c>
      <c r="P250" s="84" t="str">
        <f t="shared" si="20"/>
        <v>TRUE</v>
      </c>
      <c r="Q250" s="49"/>
      <c r="R250" s="90" t="s">
        <v>1671</v>
      </c>
      <c r="S250" s="90" t="s">
        <v>1776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0" t="s">
        <v>246</v>
      </c>
      <c r="B258" s="431"/>
      <c r="C258" s="427" t="s">
        <v>241</v>
      </c>
      <c r="D258" s="425"/>
      <c r="E258" s="425"/>
      <c r="F258" s="425"/>
      <c r="G258" s="425"/>
      <c r="H258" s="426"/>
      <c r="I258" s="424" t="s">
        <v>242</v>
      </c>
      <c r="J258" s="425"/>
      <c r="K258" s="425"/>
      <c r="L258" s="425"/>
      <c r="M258" s="426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1670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1670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1670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1670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1670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1670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1670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1670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1670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1670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1768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1672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1670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1670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1670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1670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1670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1670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1670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1670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89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89" customFormat="1">
      <c r="A286" s="43" t="s">
        <v>403</v>
      </c>
      <c r="B286" s="43" t="s">
        <v>403</v>
      </c>
      <c r="C286" s="48" t="s">
        <v>402</v>
      </c>
      <c r="D286" s="391"/>
      <c r="E286" s="48" t="s">
        <v>201</v>
      </c>
      <c r="F286" s="391"/>
      <c r="G286" s="48" t="s">
        <v>201</v>
      </c>
      <c r="H286" s="391"/>
      <c r="I286" s="48" t="s">
        <v>402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b0agSYUQe68EqRrHROX9mho14SLFeg/BDy8dCUkigjh4jHQlNIvQPCiw+HO0CwDrcdBC2gaM/0gksqnSn+r8AA==" saltValue="p2j32NplLsQ6/QpKZgfczA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80:N83 N86:N121 N124:N131 N171:N176 N196:N207 N248:N252 N272:N283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6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6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6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7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7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7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4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4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4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6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6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6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08:N209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08:P209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08:J209 F208:F209 D208:D209">
    <cfRule type="containsText" dxfId="189" priority="172" operator="containsText" text="ALTERNATE_FE">
      <formula>NOT(ISERROR(SEARCH("ALTERNATE_FE",D208)))</formula>
    </cfRule>
    <cfRule type="cellIs" dxfId="188" priority="173" operator="equal">
      <formula>"Single Band Path"</formula>
    </cfRule>
  </conditionalFormatting>
  <conditionalFormatting sqref="O208:O209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08:T209">
    <cfRule type="containsText" dxfId="185" priority="169" operator="containsText" text="DL">
      <formula>NOT(ISERROR(SEARCH("DL",R208)))</formula>
    </cfRule>
    <cfRule type="containsText" dxfId="184" priority="170" operator="containsText" text="LTE">
      <formula>NOT(ISERROR(SEARCH("LTE",R208)))</formula>
    </cfRule>
    <cfRule type="containsText" dxfId="183" priority="171" operator="containsText" text="UL">
      <formula>NOT(ISERROR(SEARCH("UL",R208)))</formula>
    </cfRule>
  </conditionalFormatting>
  <conditionalFormatting sqref="T208:T209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7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7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7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7:T247">
    <cfRule type="containsText" dxfId="88" priority="54" operator="containsText" text="DL">
      <formula>NOT(ISERROR(SEARCH("DL",R247)))</formula>
    </cfRule>
    <cfRule type="containsText" dxfId="87" priority="55" operator="containsText" text="LTE">
      <formula>NOT(ISERROR(SEARCH("LTE",R247)))</formula>
    </cfRule>
    <cfRule type="containsText" dxfId="86" priority="56" operator="containsText" text="UL">
      <formula>NOT(ISERROR(SEARCH("UL",R247)))</formula>
    </cfRule>
  </conditionalFormatting>
  <conditionalFormatting sqref="T247">
    <cfRule type="expression" dxfId="85" priority="53">
      <formula>$BC$5="SW_CAPABILITY_NOT_SUPPORT"</formula>
    </cfRule>
  </conditionalFormatting>
  <conditionalFormatting sqref="P271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1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1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43" id="{98A9B0F3-AC65-4419-AADB-E9E21F8BB7B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E8927B51-DE04-4BFF-B9F3-14E237A9926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243FF825-1AA8-4B75-B1F7-7363DDAEE14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B780E593-7648-4962-9F5F-444792DE540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A18A4078-DCA0-45A7-A59E-27276073E4A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A7E6C29C-B26D-44C2-B8D0-9FD85D89459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MuDSf8aRGqUX/QxFKbiTnFNUs4U3/iHh5yhdEggkqy0Z/3zSCRpbuDojV64rO9kILcxt7uxc3k/AqOZYLZBk8w==" saltValue="6UmwjldT/bhYuzL6XTT8k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1666</v>
      </c>
      <c r="B8" s="168" t="s">
        <v>1667</v>
      </c>
      <c r="C8" s="169" t="s">
        <v>1668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1699</v>
      </c>
      <c r="B11" s="15" t="s">
        <v>1700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1669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LTE_Band42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1701</v>
      </c>
      <c r="B356" s="397"/>
      <c r="C356" s="397"/>
      <c r="D356" s="397"/>
    </row>
    <row r="357" spans="1:4" ht="90.75" thickBot="1">
      <c r="A357" s="398" t="s">
        <v>1702</v>
      </c>
      <c r="B357" s="398" t="s">
        <v>1703</v>
      </c>
      <c r="C357" s="399" t="s">
        <v>1704</v>
      </c>
      <c r="D357" s="397"/>
    </row>
    <row r="358" spans="1:4">
      <c r="A358" s="400" t="s">
        <v>10</v>
      </c>
      <c r="B358" s="401">
        <v>5</v>
      </c>
      <c r="C358" s="401" t="s">
        <v>1705</v>
      </c>
      <c r="D358" s="402" t="s">
        <v>1706</v>
      </c>
    </row>
    <row r="359" spans="1:4">
      <c r="A359" s="403" t="s">
        <v>15</v>
      </c>
      <c r="B359" s="404">
        <v>0</v>
      </c>
      <c r="C359" s="404">
        <v>0</v>
      </c>
      <c r="D359" s="405" t="s">
        <v>1707</v>
      </c>
    </row>
    <row r="360" spans="1:4">
      <c r="A360" s="403" t="s">
        <v>15</v>
      </c>
      <c r="B360" s="404">
        <v>0</v>
      </c>
      <c r="C360" s="404">
        <v>0</v>
      </c>
      <c r="D360" s="405" t="s">
        <v>1708</v>
      </c>
    </row>
    <row r="361" spans="1:4">
      <c r="A361" s="403" t="s">
        <v>15</v>
      </c>
      <c r="B361" s="404">
        <v>0</v>
      </c>
      <c r="C361" s="404">
        <v>0</v>
      </c>
      <c r="D361" s="405" t="s">
        <v>1709</v>
      </c>
    </row>
    <row r="362" spans="1:4">
      <c r="A362" s="403" t="s">
        <v>15</v>
      </c>
      <c r="B362" s="404">
        <v>0</v>
      </c>
      <c r="C362" s="404">
        <v>0</v>
      </c>
      <c r="D362" s="405" t="s">
        <v>1710</v>
      </c>
    </row>
    <row r="363" spans="1:4">
      <c r="A363" s="403" t="s">
        <v>15</v>
      </c>
      <c r="B363" s="404">
        <v>0</v>
      </c>
      <c r="C363" s="404">
        <v>0</v>
      </c>
      <c r="D363" s="405" t="s">
        <v>1711</v>
      </c>
    </row>
    <row r="364" spans="1:4">
      <c r="A364" s="403" t="s">
        <v>15</v>
      </c>
      <c r="B364" s="404">
        <v>0</v>
      </c>
      <c r="C364" s="404">
        <v>0</v>
      </c>
      <c r="D364" s="405" t="s">
        <v>1712</v>
      </c>
    </row>
    <row r="365" spans="1:4">
      <c r="A365" s="403" t="s">
        <v>15</v>
      </c>
      <c r="B365" s="404">
        <v>0</v>
      </c>
      <c r="C365" s="404">
        <v>0</v>
      </c>
      <c r="D365" s="405" t="s">
        <v>1713</v>
      </c>
    </row>
    <row r="366" spans="1:4">
      <c r="A366" s="403" t="s">
        <v>15</v>
      </c>
      <c r="B366" s="404">
        <v>0</v>
      </c>
      <c r="C366" s="404">
        <v>0</v>
      </c>
      <c r="D366" s="405" t="s">
        <v>1714</v>
      </c>
    </row>
    <row r="367" spans="1:4">
      <c r="A367" s="403" t="s">
        <v>15</v>
      </c>
      <c r="B367" s="404">
        <v>0</v>
      </c>
      <c r="C367" s="404">
        <v>0</v>
      </c>
      <c r="D367" s="405" t="s">
        <v>1715</v>
      </c>
    </row>
    <row r="368" spans="1:4">
      <c r="A368" s="403" t="s">
        <v>15</v>
      </c>
      <c r="B368" s="404">
        <v>0</v>
      </c>
      <c r="C368" s="404">
        <v>0</v>
      </c>
      <c r="D368" s="405" t="s">
        <v>1716</v>
      </c>
    </row>
    <row r="369" spans="1:4">
      <c r="A369" s="403" t="s">
        <v>15</v>
      </c>
      <c r="B369" s="404">
        <v>0</v>
      </c>
      <c r="C369" s="404">
        <v>0</v>
      </c>
      <c r="D369" s="405" t="s">
        <v>1717</v>
      </c>
    </row>
    <row r="370" spans="1:4">
      <c r="A370" s="403" t="s">
        <v>15</v>
      </c>
      <c r="B370" s="404">
        <v>0</v>
      </c>
      <c r="C370" s="404">
        <v>0</v>
      </c>
      <c r="D370" s="405" t="s">
        <v>1718</v>
      </c>
    </row>
    <row r="371" spans="1:4">
      <c r="A371" s="403" t="s">
        <v>15</v>
      </c>
      <c r="B371" s="404">
        <v>0</v>
      </c>
      <c r="C371" s="404">
        <v>0</v>
      </c>
      <c r="D371" s="405" t="s">
        <v>1719</v>
      </c>
    </row>
    <row r="372" spans="1:4">
      <c r="A372" s="403" t="s">
        <v>15</v>
      </c>
      <c r="B372" s="404">
        <v>0</v>
      </c>
      <c r="C372" s="404">
        <v>0</v>
      </c>
      <c r="D372" s="405" t="s">
        <v>1720</v>
      </c>
    </row>
    <row r="373" spans="1:4">
      <c r="A373" s="403" t="s">
        <v>15</v>
      </c>
      <c r="B373" s="404">
        <v>0</v>
      </c>
      <c r="C373" s="404">
        <v>0</v>
      </c>
      <c r="D373" s="405" t="s">
        <v>1721</v>
      </c>
    </row>
    <row r="374" spans="1:4">
      <c r="A374" s="403" t="s">
        <v>15</v>
      </c>
      <c r="B374" s="404">
        <v>0</v>
      </c>
      <c r="C374" s="404">
        <v>0</v>
      </c>
      <c r="D374" s="405" t="s">
        <v>1722</v>
      </c>
    </row>
    <row r="375" spans="1:4">
      <c r="A375" s="403" t="s">
        <v>15</v>
      </c>
      <c r="B375" s="404">
        <v>0</v>
      </c>
      <c r="C375" s="404">
        <v>0</v>
      </c>
      <c r="D375" s="405" t="s">
        <v>1723</v>
      </c>
    </row>
    <row r="376" spans="1:4">
      <c r="A376" s="403" t="s">
        <v>15</v>
      </c>
      <c r="B376" s="404">
        <v>0</v>
      </c>
      <c r="C376" s="404">
        <v>0</v>
      </c>
      <c r="D376" s="405" t="s">
        <v>1724</v>
      </c>
    </row>
    <row r="377" spans="1:4">
      <c r="A377" s="403" t="s">
        <v>15</v>
      </c>
      <c r="B377" s="404">
        <v>0</v>
      </c>
      <c r="C377" s="404">
        <v>0</v>
      </c>
      <c r="D377" s="405" t="s">
        <v>1725</v>
      </c>
    </row>
    <row r="378" spans="1:4">
      <c r="A378" s="403" t="s">
        <v>15</v>
      </c>
      <c r="B378" s="404">
        <v>0</v>
      </c>
      <c r="C378" s="404">
        <v>0</v>
      </c>
      <c r="D378" s="405" t="s">
        <v>1726</v>
      </c>
    </row>
    <row r="379" spans="1:4">
      <c r="A379" s="403" t="s">
        <v>15</v>
      </c>
      <c r="B379" s="404">
        <v>0</v>
      </c>
      <c r="C379" s="404">
        <v>0</v>
      </c>
      <c r="D379" s="405" t="s">
        <v>1727</v>
      </c>
    </row>
    <row r="380" spans="1:4">
      <c r="A380" s="403" t="s">
        <v>15</v>
      </c>
      <c r="B380" s="404">
        <v>0</v>
      </c>
      <c r="C380" s="404">
        <v>0</v>
      </c>
      <c r="D380" s="405" t="s">
        <v>1728</v>
      </c>
    </row>
    <row r="381" spans="1:4">
      <c r="A381" s="403" t="s">
        <v>15</v>
      </c>
      <c r="B381" s="404">
        <v>0</v>
      </c>
      <c r="C381" s="404">
        <v>0</v>
      </c>
      <c r="D381" s="405" t="s">
        <v>1729</v>
      </c>
    </row>
    <row r="382" spans="1:4">
      <c r="A382" s="403" t="s">
        <v>15</v>
      </c>
      <c r="B382" s="404">
        <v>0</v>
      </c>
      <c r="C382" s="404">
        <v>0</v>
      </c>
      <c r="D382" s="405" t="s">
        <v>1730</v>
      </c>
    </row>
    <row r="383" spans="1:4">
      <c r="A383" s="403" t="s">
        <v>15</v>
      </c>
      <c r="B383" s="404">
        <v>0</v>
      </c>
      <c r="C383" s="404">
        <v>0</v>
      </c>
      <c r="D383" s="405" t="s">
        <v>1731</v>
      </c>
    </row>
    <row r="384" spans="1:4">
      <c r="A384" s="403" t="s">
        <v>15</v>
      </c>
      <c r="B384" s="404">
        <v>0</v>
      </c>
      <c r="C384" s="404">
        <v>0</v>
      </c>
      <c r="D384" s="405" t="s">
        <v>1732</v>
      </c>
    </row>
    <row r="385" spans="1:4">
      <c r="A385" s="403" t="s">
        <v>15</v>
      </c>
      <c r="B385" s="404">
        <v>0</v>
      </c>
      <c r="C385" s="404">
        <v>0</v>
      </c>
      <c r="D385" s="405" t="s">
        <v>1733</v>
      </c>
    </row>
    <row r="386" spans="1:4">
      <c r="A386" s="403" t="s">
        <v>15</v>
      </c>
      <c r="B386" s="404">
        <v>0</v>
      </c>
      <c r="C386" s="404">
        <v>0</v>
      </c>
      <c r="D386" s="405" t="s">
        <v>1734</v>
      </c>
    </row>
    <row r="387" spans="1:4">
      <c r="A387" s="403" t="s">
        <v>15</v>
      </c>
      <c r="B387" s="404">
        <v>0</v>
      </c>
      <c r="C387" s="404">
        <v>0</v>
      </c>
      <c r="D387" s="405" t="s">
        <v>1735</v>
      </c>
    </row>
    <row r="388" spans="1:4">
      <c r="A388" s="403" t="s">
        <v>15</v>
      </c>
      <c r="B388" s="404">
        <v>0</v>
      </c>
      <c r="C388" s="404">
        <v>0</v>
      </c>
      <c r="D388" s="405" t="s">
        <v>1736</v>
      </c>
    </row>
    <row r="389" spans="1:4">
      <c r="A389" s="403" t="s">
        <v>15</v>
      </c>
      <c r="B389" s="404">
        <v>0</v>
      </c>
      <c r="C389" s="404">
        <v>0</v>
      </c>
      <c r="D389" s="405" t="s">
        <v>1737</v>
      </c>
    </row>
    <row r="390" spans="1:4">
      <c r="A390" s="403" t="s">
        <v>15</v>
      </c>
      <c r="B390" s="404">
        <v>0</v>
      </c>
      <c r="C390" s="404">
        <v>0</v>
      </c>
      <c r="D390" s="405" t="s">
        <v>1738</v>
      </c>
    </row>
    <row r="391" spans="1:4">
      <c r="A391" s="403" t="s">
        <v>15</v>
      </c>
      <c r="B391" s="404">
        <v>0</v>
      </c>
      <c r="C391" s="404">
        <v>0</v>
      </c>
      <c r="D391" s="405" t="s">
        <v>1739</v>
      </c>
    </row>
    <row r="392" spans="1:4">
      <c r="A392" s="403" t="s">
        <v>15</v>
      </c>
      <c r="B392" s="404">
        <v>0</v>
      </c>
      <c r="C392" s="404">
        <v>0</v>
      </c>
      <c r="D392" s="405" t="s">
        <v>1740</v>
      </c>
    </row>
    <row r="393" spans="1:4">
      <c r="A393" s="403" t="s">
        <v>15</v>
      </c>
      <c r="B393" s="404">
        <v>0</v>
      </c>
      <c r="C393" s="404">
        <v>0</v>
      </c>
      <c r="D393" s="405" t="s">
        <v>1741</v>
      </c>
    </row>
    <row r="394" spans="1:4">
      <c r="A394" s="403" t="s">
        <v>15</v>
      </c>
      <c r="B394" s="404">
        <v>0</v>
      </c>
      <c r="C394" s="404">
        <v>0</v>
      </c>
      <c r="D394" s="405" t="s">
        <v>1742</v>
      </c>
    </row>
    <row r="395" spans="1:4">
      <c r="A395" s="403" t="s">
        <v>15</v>
      </c>
      <c r="B395" s="404">
        <v>0</v>
      </c>
      <c r="C395" s="404">
        <v>0</v>
      </c>
      <c r="D395" s="405" t="s">
        <v>1743</v>
      </c>
    </row>
    <row r="396" spans="1:4">
      <c r="A396" s="403" t="s">
        <v>15</v>
      </c>
      <c r="B396" s="404">
        <v>0</v>
      </c>
      <c r="C396" s="404">
        <v>0</v>
      </c>
      <c r="D396" s="405" t="s">
        <v>1744</v>
      </c>
    </row>
    <row r="397" spans="1:4">
      <c r="A397" s="403" t="s">
        <v>15</v>
      </c>
      <c r="B397" s="404">
        <v>0</v>
      </c>
      <c r="C397" s="404">
        <v>0</v>
      </c>
      <c r="D397" s="405" t="s">
        <v>1745</v>
      </c>
    </row>
    <row r="398" spans="1:4">
      <c r="A398" s="403" t="s">
        <v>15</v>
      </c>
      <c r="B398" s="404">
        <v>0</v>
      </c>
      <c r="C398" s="404">
        <v>0</v>
      </c>
      <c r="D398" s="405" t="s">
        <v>1746</v>
      </c>
    </row>
    <row r="399" spans="1:4">
      <c r="A399" s="403" t="s">
        <v>15</v>
      </c>
      <c r="B399" s="404">
        <v>0</v>
      </c>
      <c r="C399" s="404">
        <v>0</v>
      </c>
      <c r="D399" s="405" t="s">
        <v>1747</v>
      </c>
    </row>
    <row r="400" spans="1:4">
      <c r="A400" s="403" t="s">
        <v>15</v>
      </c>
      <c r="B400" s="404">
        <v>0</v>
      </c>
      <c r="C400" s="404">
        <v>0</v>
      </c>
      <c r="D400" s="405" t="s">
        <v>1748</v>
      </c>
    </row>
    <row r="401" spans="1:4">
      <c r="A401" s="403" t="s">
        <v>15</v>
      </c>
      <c r="B401" s="404">
        <v>0</v>
      </c>
      <c r="C401" s="404">
        <v>0</v>
      </c>
      <c r="D401" s="405" t="s">
        <v>1749</v>
      </c>
    </row>
    <row r="402" spans="1:4">
      <c r="A402" s="403" t="s">
        <v>15</v>
      </c>
      <c r="B402" s="404">
        <v>0</v>
      </c>
      <c r="C402" s="404">
        <v>0</v>
      </c>
      <c r="D402" s="405" t="s">
        <v>1750</v>
      </c>
    </row>
    <row r="403" spans="1:4">
      <c r="A403" s="403" t="s">
        <v>15</v>
      </c>
      <c r="B403" s="404">
        <v>0</v>
      </c>
      <c r="C403" s="404">
        <v>0</v>
      </c>
      <c r="D403" s="405" t="s">
        <v>1751</v>
      </c>
    </row>
    <row r="404" spans="1:4">
      <c r="A404" s="403" t="s">
        <v>15</v>
      </c>
      <c r="B404" s="404">
        <v>0</v>
      </c>
      <c r="C404" s="404">
        <v>0</v>
      </c>
      <c r="D404" s="405" t="s">
        <v>1752</v>
      </c>
    </row>
    <row r="405" spans="1:4">
      <c r="A405" s="403" t="s">
        <v>15</v>
      </c>
      <c r="B405" s="404">
        <v>0</v>
      </c>
      <c r="C405" s="404">
        <v>0</v>
      </c>
      <c r="D405" s="405" t="s">
        <v>1753</v>
      </c>
    </row>
    <row r="406" spans="1:4">
      <c r="A406" s="403" t="s">
        <v>15</v>
      </c>
      <c r="B406" s="404">
        <v>0</v>
      </c>
      <c r="C406" s="404">
        <v>0</v>
      </c>
      <c r="D406" s="405" t="s">
        <v>1754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1755</v>
      </c>
    </row>
  </sheetData>
  <sheetProtection algorithmName="SHA-512" hashValue="Ikh3EPN3vjxR61GPUi+jTjn3HXdBEmh+4w1Mkn/bPI+NEEh3OznIOx0DoBgb88eKcdNVZwXjBni9Pf9CD84s4Q==" saltValue="PL9x2YXi4CRooWjD5RApP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wKH6fdV1jMer2Iz4K7kphkq43SmVE33gxMx24kfY7jXxw7QLFV12EqqeV6NoVYikE6KfqJQaTh8+adt0kluw6Q==" saltValue="Mp01Kg/82O62x71sMTL+Kw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LTE_Band42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DC4odOS1tTw+PYwxUxVPiVFXU2KH4b2OECJR5ikoa/PjFp0tth/GRuaiPo4xi2zQ1s6L+2VpfoyivBwuUFJoZQ==" saltValue="syS7ZhW22rojp7GDrH25p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LTE_Band42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F2CGD8+lq79iGx9bIUuJZSuo39okQn7wrXtfPL46AKvyr27jSX7en7cXEg3Bk8Ge+ozbprN8v/kSO/UBv1doVA==" saltValue="d7PgpjiR2DKR9QQOHB05H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jO4UCR9jgw2PUxj6vxQ1dVfF05j5OFTES2i0XLO4AsowxeSmm1Fe1NdPH47wx2aLHJVSnMcrcU4Ln6GQJxoUJQ==" saltValue="VrMtaxpMaL5Oo1jM4jk4I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ELBK06BoZ+AissbdPaa2VLUBSa1odTUtOa5RMFH2orAJ8736EqIZ9hVdAPW6WZStpOMKtXmyptCsn/BDt/HF1Q==" saltValue="zJqhpYqAQ9RGKUTkFDEaR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1756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1685</v>
      </c>
    </row>
    <row r="61" spans="1:2">
      <c r="A61" s="389" t="s">
        <v>865</v>
      </c>
      <c r="B61" s="389" t="s">
        <v>1685</v>
      </c>
    </row>
    <row r="62" spans="1:2">
      <c r="A62" s="389" t="s">
        <v>1687</v>
      </c>
      <c r="B62" s="389" t="s">
        <v>1685</v>
      </c>
    </row>
    <row r="63" spans="1:2">
      <c r="A63" s="389" t="s">
        <v>1688</v>
      </c>
      <c r="B63" s="389" t="s">
        <v>1685</v>
      </c>
    </row>
    <row r="64" spans="1:2">
      <c r="A64" s="389" t="s">
        <v>1689</v>
      </c>
      <c r="B64" s="389" t="s">
        <v>1685</v>
      </c>
    </row>
    <row r="65" spans="1:3">
      <c r="A65" s="389" t="s">
        <v>890</v>
      </c>
      <c r="B65" s="389" t="s">
        <v>1685</v>
      </c>
    </row>
    <row r="66" spans="1:3">
      <c r="A66" s="389" t="s">
        <v>1524</v>
      </c>
      <c r="B66" s="389" t="s">
        <v>1685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1691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1650</v>
      </c>
    </row>
    <row r="322" spans="1:4">
      <c r="A322" s="94"/>
      <c r="B322" s="164"/>
      <c r="C322" s="94"/>
      <c r="D322" s="11"/>
    </row>
  </sheetData>
  <sheetProtection algorithmName="SHA-512" hashValue="u56+HLvb/3zWJvQlezbRMti8mcmqYsSLjRTOgPqyX3a4Kux0NH5/94KBZNx+f6oDXPQivH3Oggr4kfjR74W98A==" saltValue="4VEi7qDCe/OBJIkY8oPaD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1756</v>
      </c>
      <c r="C4" s="409">
        <v>43136</v>
      </c>
      <c r="D4" s="410" t="s">
        <v>1757</v>
      </c>
      <c r="E4" s="410" t="s">
        <v>1758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1696</v>
      </c>
      <c r="C5" s="393">
        <v>43088</v>
      </c>
      <c r="D5" s="160" t="s">
        <v>1683</v>
      </c>
      <c r="E5" s="160" t="s">
        <v>1697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1695</v>
      </c>
      <c r="C6" s="395">
        <v>43077</v>
      </c>
      <c r="D6" s="159" t="s">
        <v>1661</v>
      </c>
      <c r="E6" s="394" t="s">
        <v>1694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1686</v>
      </c>
      <c r="C7" s="393">
        <v>43068</v>
      </c>
      <c r="D7" s="394" t="s">
        <v>1692</v>
      </c>
      <c r="E7" s="394" t="s">
        <v>1693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1681</v>
      </c>
      <c r="C8" s="392" t="s">
        <v>1682</v>
      </c>
      <c r="D8" s="160" t="s">
        <v>1683</v>
      </c>
      <c r="E8" s="160" t="s">
        <v>1684</v>
      </c>
    </row>
    <row r="9" spans="1:23">
      <c r="B9" s="449" t="s">
        <v>1653</v>
      </c>
      <c r="C9" s="452" t="s">
        <v>1663</v>
      </c>
      <c r="D9" s="159" t="s">
        <v>1654</v>
      </c>
      <c r="E9" s="159" t="s">
        <v>1665</v>
      </c>
    </row>
    <row r="10" spans="1:23">
      <c r="B10" s="450"/>
      <c r="C10" s="453"/>
      <c r="D10" s="159" t="s">
        <v>1660</v>
      </c>
      <c r="E10" s="159" t="s">
        <v>1662</v>
      </c>
    </row>
    <row r="11" spans="1:23">
      <c r="B11" s="450"/>
      <c r="C11" s="453"/>
      <c r="D11" s="159" t="s">
        <v>1661</v>
      </c>
      <c r="E11" s="159" t="s">
        <v>1662</v>
      </c>
    </row>
    <row r="12" spans="1:23">
      <c r="B12" s="450"/>
      <c r="C12" s="453"/>
      <c r="D12" s="159" t="s">
        <v>1655</v>
      </c>
      <c r="E12" s="159" t="s">
        <v>1659</v>
      </c>
    </row>
    <row r="13" spans="1:23">
      <c r="B13" s="450"/>
      <c r="C13" s="453"/>
      <c r="D13" s="159" t="s">
        <v>1656</v>
      </c>
      <c r="E13" s="159" t="s">
        <v>1659</v>
      </c>
    </row>
    <row r="14" spans="1:23">
      <c r="B14" s="450"/>
      <c r="C14" s="453"/>
      <c r="D14" s="159" t="s">
        <v>1657</v>
      </c>
      <c r="E14" s="159" t="s">
        <v>1659</v>
      </c>
    </row>
    <row r="15" spans="1:23">
      <c r="B15" s="451"/>
      <c r="C15" s="454"/>
      <c r="D15" s="159" t="s">
        <v>1658</v>
      </c>
      <c r="E15" s="159" t="s">
        <v>1659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hgolxeNoNnapAfcegctPC7u6FMA6j/Wc9/VzqMm8cDu5mDdCDHD3z0tp7Lx+OPGEpmFy7jIB6FwBfdDfLmN8IA==" saltValue="IlTtBRTKC3sbfxABF1sbCQ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